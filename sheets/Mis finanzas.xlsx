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ensual" sheetId="2" state="visible" r:id="rId4"/>
    <sheet name="Semanal" sheetId="3" state="visible" r:id="rId5"/>
    <sheet name="Categorías" sheetId="4" state="visible" r:id="rId6"/>
    <sheet name="Movimientos" sheetId="5" state="visible" r:id="rId7"/>
    <sheet name="Presupuestos" sheetId="6" state="visible" r:id="rId8"/>
    <sheet name="Deudas" sheetId="7" state="visible" r:id="rId9"/>
    <sheet name="Metas" sheetId="8" state="visible" r:id="rId10"/>
    <sheet name="Tareas" sheetId="9" state="visible" r:id="rId11"/>
    <sheet name="Recurrentes" sheetId="10" state="visible" r:id="rId12"/>
    <sheet name="Recordatori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<sst xmlns="http://schemas.openxmlformats.org/spreadsheetml/2006/main" count="81" uniqueCount="68">
  <si>
    <t xml:space="preserve">Mis finanzas</t>
  </si>
  <si>
    <t xml:space="preserve">Última actualización:</t>
  </si>
  <si>
    <t xml:space="preserve">La llena tu bot de Telegram automáticamente. Las pestañas de datos no se editan a mano; las correcciones se hacen por el bot (/borrar, /cat…).</t>
  </si>
  <si>
    <t xml:space="preserve">Inicio del mes</t>
  </si>
  <si>
    <t xml:space="preserve">Inicio de la semana (lunes)</t>
  </si>
  <si>
    <t xml:space="preserve">Indicador</t>
  </si>
  <si>
    <t xml:space="preserve">Valor</t>
  </si>
  <si>
    <t xml:space="preserve">Gastos del mes</t>
  </si>
  <si>
    <t xml:space="preserve">Ingresos del mes</t>
  </si>
  <si>
    <t xml:space="preserve">Balance del mes</t>
  </si>
  <si>
    <t xml:space="preserve">Gastos de esta semana</t>
  </si>
  <si>
    <t xml:space="preserve">Promedio diario (mes)</t>
  </si>
  <si>
    <t xml:space="preserve">Gastos del mes anterior</t>
  </si>
  <si>
    <t xml:space="preserve">Te deben</t>
  </si>
  <si>
    <t xml:space="preserve">Debes</t>
  </si>
  <si>
    <t xml:space="preserve">Ahorrado en metas</t>
  </si>
  <si>
    <t xml:space="preserve">Mes</t>
  </si>
  <si>
    <t xml:space="preserve">Ingresos (S/)</t>
  </si>
  <si>
    <t xml:space="preserve">Gastos (S/)</t>
  </si>
  <si>
    <t xml:space="preserve">Balance (S/)</t>
  </si>
  <si>
    <t xml:space="preserve">% gastado</t>
  </si>
  <si>
    <t xml:space="preserve">Total 12 meses</t>
  </si>
  <si>
    <t xml:space="preserve">Semana (lunes)</t>
  </si>
  <si>
    <t xml:space="preserve">Promedio semanal</t>
  </si>
  <si>
    <t xml:space="preserve">Categoría</t>
  </si>
  <si>
    <t xml:space="preserve">Gasto del mes (S/)</t>
  </si>
  <si>
    <t xml:space="preserve">Presupuesto (S/)</t>
  </si>
  <si>
    <t xml:space="preserve">% usado</t>
  </si>
  <si>
    <t xml:space="preserve">Te queda (S/)</t>
  </si>
  <si>
    <t xml:space="preserve">Mes anterior (S/)</t>
  </si>
  <si>
    <t xml:space="preserve">vs mes anterior</t>
  </si>
  <si>
    <t xml:space="preserve">Comida</t>
  </si>
  <si>
    <t xml:space="preserve">Transporte</t>
  </si>
  <si>
    <t xml:space="preserve">Ocio</t>
  </si>
  <si>
    <t xml:space="preserve">Compras</t>
  </si>
  <si>
    <t xml:space="preserve">Salud</t>
  </si>
  <si>
    <t xml:space="preserve">Educación</t>
  </si>
  <si>
    <t xml:space="preserve">Servicios</t>
  </si>
  <si>
    <t xml:space="preserve">Hogar</t>
  </si>
  <si>
    <t xml:space="preserve">Otros</t>
  </si>
  <si>
    <t xml:space="preserve">Total</t>
  </si>
  <si>
    <t xml:space="preserve">Fecha</t>
  </si>
  <si>
    <t xml:space="preserve">Tipo</t>
  </si>
  <si>
    <t xml:space="preserve">Monto (S/)</t>
  </si>
  <si>
    <t xml:space="preserve">Descripción</t>
  </si>
  <si>
    <t xml:space="preserve">Método</t>
  </si>
  <si>
    <t xml:space="preserve">Presupuesto mensual (S/)</t>
  </si>
  <si>
    <t xml:space="preserve">Persona</t>
  </si>
  <si>
    <t xml:space="preserve">Saldo (S/)</t>
  </si>
  <si>
    <t xml:space="preserve">Estado</t>
  </si>
  <si>
    <t xml:space="preserve">Meta</t>
  </si>
  <si>
    <t xml:space="preserve">Objetivo (S/)</t>
  </si>
  <si>
    <t xml:space="preserve">Ahorrado (S/)</t>
  </si>
  <si>
    <t xml:space="preserve">Fecha límite</t>
  </si>
  <si>
    <t xml:space="preserve">Progreso</t>
  </si>
  <si>
    <t xml:space="preserve">Falta (S/)</t>
  </si>
  <si>
    <t xml:space="preserve">Ahorrar por mes (S/)</t>
  </si>
  <si>
    <t xml:space="preserve">Tarea</t>
  </si>
  <si>
    <t xml:space="preserve">Prioridad</t>
  </si>
  <si>
    <t xml:space="preserve">Vence</t>
  </si>
  <si>
    <t xml:space="preserve">Hecha el</t>
  </si>
  <si>
    <t xml:space="preserve">Creada</t>
  </si>
  <si>
    <t xml:space="preserve">Pago</t>
  </si>
  <si>
    <t xml:space="preserve">Día del mes</t>
  </si>
  <si>
    <t xml:space="preserve">Activo</t>
  </si>
  <si>
    <t xml:space="preserve">Recordatorio</t>
  </si>
  <si>
    <t xml:space="preserve">Próxima vez</t>
  </si>
  <si>
    <t xml:space="preserve">Se repite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</si>
</sst>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S/ &quot;#,##0.00;&quot;-S/ &quot;#,##0.00;\-"/>
    <numFmt numFmtId="167" formatCode="mmm\ yyyy"/>
    <numFmt numFmtId="168" formatCode="0%"/>
    <numFmt numFmtId="169" formatCode="\+0%;\-0%;0%"/>
    <numFmt numFmtId="170" formatCode="dd/mm/yyyy\ h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300"/>
      <rgbColor rgb="FF000080"/>
      <rgbColor rgb="FF808000"/>
      <rgbColor rgb="FF800080"/>
      <rgbColor rgb="FF008080"/>
      <rgbColor rgb="FFC0C0C0"/>
      <rgbColor rgb="FF7F7F7F"/>
      <rgbColor rgb="FF878787"/>
      <rgbColor rgb="FFE34948"/>
      <rgbColor rgb="FFF2F2F2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4F81BD"/>
      <rgbColor rgb="FF8A8986"/>
      <rgbColor rgb="FF1F3A5F"/>
      <rgbColor rgb="FF1BAF7A"/>
      <rgbColor rgb="FF003300"/>
      <rgbColor rgb="FF333300"/>
      <rgbColor rgb="FF993300"/>
      <rgbColor rgb="FF993366"/>
      <rgbColor rgb="FF4A3AA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del mes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Categorías!B1</c:f>
              <c:strCache>
                <c:ptCount val="1"/>
                <c:pt idx="0">
                  <c:v>Gasto del mes (S/)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baf7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da1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87b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83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a3aa7"/>
              </a:solidFill>
              <a:ln w="0">
                <a:noFill/>
              </a:ln>
            </c:spPr>
          </c:dPt>
          <c:dPt>
            <c:idx val="7"/>
            <c:spPr>
              <a:solidFill>
                <a:srgbClr val="e34948"/>
              </a:solidFill>
              <a:ln w="0">
                <a:noFill/>
              </a:ln>
            </c:spPr>
          </c:dPt>
          <c:dPt>
            <c:idx val="8"/>
            <c:spPr>
              <a:solidFill>
                <a:srgbClr val="8a89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Categorías!$A$2:$A$10</c:f>
              <c:strCache>
                <c:ptCount val="9"/>
                <c:pt idx="0">
                  <c:v>Comida</c:v>
                </c:pt>
                <c:pt idx="1">
                  <c:v>Transporte</c:v>
                </c:pt>
                <c:pt idx="2">
                  <c:v>Ocio</c:v>
                </c:pt>
                <c:pt idx="3">
                  <c:v>Compras</c:v>
                </c:pt>
                <c:pt idx="4">
                  <c:v>Salud</c:v>
                </c:pt>
                <c:pt idx="5">
                  <c:v>Educación</c:v>
                </c:pt>
                <c:pt idx="6">
                  <c:v>Servicios</c:v>
                </c:pt>
                <c:pt idx="7">
                  <c:v>Hogar</c:v>
                </c:pt>
                <c:pt idx="8">
                  <c:v>Otros</c:v>
                </c:pt>
              </c:strCache>
            </c:strRef>
          </c:cat>
          <c:val>
            <c:numRef>
              <c:f>Categorías!$B$2:$B$10</c:f>
              <c:numCache>
                <c:formatCode>"S/ "#,##0.00;"-S/ "#,##0.00;\-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vs gastos (últimos 12 meses)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Mensual!B1</c:f>
              <c:strCache>
                <c:ptCount val="1"/>
                <c:pt idx="0">
                  <c:v>Ingresos (S/)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Mensual!$A$2:$A$13</c:f>
              <c:strCache>
                <c:ptCount val="12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  <c:pt idx="5">
                  <c:v>Mar 2026</c:v>
                </c:pt>
                <c:pt idx="6">
                  <c:v>Apr 2026</c:v>
                </c:pt>
                <c:pt idx="7">
                  <c:v>May 2026</c:v>
                </c:pt>
                <c:pt idx="8">
                  <c:v>Jun 2026</c:v>
                </c:pt>
                <c:pt idx="9">
                  <c:v>Jul 2026</c:v>
                </c:pt>
                <c:pt idx="10">
                  <c:v>Aug 2026</c:v>
                </c:pt>
                <c:pt idx="11">
                  <c:v>Sep 2026</c:v>
                </c:pt>
              </c:strCache>
            </c:strRef>
          </c:cat>
          <c:val>
            <c:numRef>
              <c:f>Mensual!$B$2:$B$13</c:f>
              <c:numCache>
                <c:formatCode>"S/ "#,##0.00;"-S/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Mensual!C1</c:f>
              <c:strCache>
                <c:ptCount val="1"/>
                <c:pt idx="0">
                  <c:v>Gastos (S/)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Mensual!$A$2:$A$13</c:f>
              <c:strCache>
                <c:ptCount val="12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  <c:pt idx="5">
                  <c:v>Mar 2026</c:v>
                </c:pt>
                <c:pt idx="6">
                  <c:v>Apr 2026</c:v>
                </c:pt>
                <c:pt idx="7">
                  <c:v>May 2026</c:v>
                </c:pt>
                <c:pt idx="8">
                  <c:v>Jun 2026</c:v>
                </c:pt>
                <c:pt idx="9">
                  <c:v>Jul 2026</c:v>
                </c:pt>
                <c:pt idx="10">
                  <c:v>Aug 2026</c:v>
                </c:pt>
                <c:pt idx="11">
                  <c:v>Sep 2026</c:v>
                </c:pt>
              </c:strCache>
            </c:strRef>
          </c:cat>
          <c:val>
            <c:numRef>
              <c:f>Mensual!$C$2:$C$13</c:f>
              <c:numCache>
                <c:formatCode>"S/ "#,##0.00;"-S/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3210961"/>
        <c:axId val="62318730"/>
      </c:barChart>
      <c:catAx>
        <c:axId val="93210961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18730"/>
        <c:crosses val="autoZero"/>
        <c:auto val="1"/>
        <c:lblAlgn val="ctr"/>
        <c:lblOffset val="100"/>
        <c:noMultiLvlLbl val="0"/>
      </c:catAx>
      <c:valAx>
        <c:axId val="62318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S/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S/ &quot;#,##0.00;&quot;-S/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109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semana (últimas 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Semanal!C1</c:f>
              <c:strCache>
                <c:ptCount val="1"/>
                <c:pt idx="0">
                  <c:v>Gastos (S/)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Semanal!$A$2:$A$13</c:f>
              <c:strCache>
                <c:ptCount val="12"/>
                <c:pt idx="0">
                  <c:v>06/07/2026</c:v>
                </c:pt>
                <c:pt idx="1">
                  <c:v>13/07/2026</c:v>
                </c:pt>
                <c:pt idx="2">
                  <c:v>20/07/2026</c:v>
                </c:pt>
                <c:pt idx="3">
                  <c:v>27/07/2026</c:v>
                </c:pt>
                <c:pt idx="4">
                  <c:v>03/08/2026</c:v>
                </c:pt>
                <c:pt idx="5">
                  <c:v>10/08/2026</c:v>
                </c:pt>
                <c:pt idx="6">
                  <c:v>17/08/2026</c:v>
                </c:pt>
                <c:pt idx="7">
                  <c:v>24/08/2026</c:v>
                </c:pt>
                <c:pt idx="8">
                  <c:v>31/08/2026</c:v>
                </c:pt>
                <c:pt idx="9">
                  <c:v>07/09/2026</c:v>
                </c:pt>
                <c:pt idx="10">
                  <c:v>14/09/2026</c:v>
                </c:pt>
                <c:pt idx="11">
                  <c:v>21/09/2026</c:v>
                </c:pt>
              </c:strCache>
            </c:strRef>
          </c:cat>
          <c:val>
            <c:numRef>
              <c:f>Semanal!$C$2:$C$13</c:f>
              <c:numCache>
                <c:formatCode>"S/ "#,##0.00;"-S/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8799189"/>
        <c:axId val="11101831"/>
      </c:barChart>
      <c:catAx>
        <c:axId val="28799189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01831"/>
        <c:crosses val="autoZero"/>
        <c:auto val="1"/>
        <c:lblAlgn val="ctr"/>
        <c:lblOffset val="100"/>
        <c:noMultiLvlLbl val="0"/>
      </c:catAx>
      <c:valAx>
        <c:axId val="11101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S/ &quot;#,##0.00;&quot;-S/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991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11</xdr:col>
      <xdr:colOff>507600</xdr:colOff>
      <xdr:row>16</xdr:row>
      <xdr:rowOff>132120</xdr:rowOff>
    </xdr:to>
    <xdr:graphicFrame>
      <xdr:nvGraphicFramePr>
        <xdr:cNvPr id="0" name="Chart 1"/>
        <xdr:cNvGraphicFramePr/>
      </xdr:nvGraphicFramePr>
      <xdr:xfrm>
        <a:off x="3853800" y="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130680</xdr:rowOff>
    </xdr:from>
    <xdr:to>
      <xdr:col>11</xdr:col>
      <xdr:colOff>507600</xdr:colOff>
      <xdr:row>34</xdr:row>
      <xdr:rowOff>132120</xdr:rowOff>
    </xdr:to>
    <xdr:graphicFrame>
      <xdr:nvGraphicFramePr>
        <xdr:cNvPr id="1" name="Chart 2"/>
        <xdr:cNvGraphicFramePr/>
      </xdr:nvGraphicFramePr>
      <xdr:xfrm>
        <a:off x="3853800" y="3429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35</xdr:row>
      <xdr:rowOff>130680</xdr:rowOff>
    </xdr:from>
    <xdr:to>
      <xdr:col>11</xdr:col>
      <xdr:colOff>507600</xdr:colOff>
      <xdr:row>52</xdr:row>
      <xdr:rowOff>132120</xdr:rowOff>
    </xdr:to>
    <xdr:graphicFrame>
      <xdr:nvGraphicFramePr>
        <xdr:cNvPr id="2" name="Chart 3"/>
        <xdr:cNvGraphicFramePr/>
      </xdr:nvGraphicFramePr>
      <xdr:xfrm>
        <a:off x="3853800" y="6858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3"/>
    </row>
    <row r="3" customFormat="false" ht="15" hidden="false" customHeight="false" outlineLevel="0" collapsed="false">
      <c r="A3" s="3" t="s">
        <v>2</v>
      </c>
      <c r="B3" s="2"/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3" t="s">
        <v>3</v>
      </c>
      <c r="B5" s="4" t="n">
        <f aca="true">DATE(YEAR(TODAY()),MONTH(TODAY()),1)</f>
        <v>46266</v>
      </c>
    </row>
    <row r="6" customFormat="false" ht="15" hidden="false" customHeight="false" outlineLevel="0" collapsed="false">
      <c r="A6" s="3" t="s">
        <v>4</v>
      </c>
      <c r="B6" s="4" t="n">
        <f aca="true">TODAY()-WEEKDAY(TODAY(),3)</f>
        <v>46286</v>
      </c>
    </row>
    <row r="7" customFormat="false" ht="15" hidden="false" customHeight="false" outlineLevel="0" collapsed="false">
      <c r="A7" s="5" t="s">
        <v>5</v>
      </c>
      <c r="B7" s="5" t="s">
        <v>6</v>
      </c>
    </row>
    <row r="8" customFormat="false" ht="15" hidden="false" customHeight="false" outlineLevel="0" collapsed="false">
      <c r="A8" s="6" t="s">
        <v>7</v>
      </c>
      <c r="B8" s="7" t="n">
        <f aca="false">SUMIFS(Movimientos!$C:$C,Movimientos!$B:$B,"Gasto",Movimientos!$A:$A,"&gt;="&amp;$B$5)</f>
        <v>0</v>
      </c>
    </row>
    <row r="9" customFormat="false" ht="15" hidden="false" customHeight="false" outlineLevel="0" collapsed="false">
      <c r="A9" s="8" t="s">
        <v>8</v>
      </c>
      <c r="B9" s="9" t="n">
        <f aca="false">SUMIFS(Movimientos!$C:$C,Movimientos!$B:$B,"Ingreso",Movimientos!$A:$A,"&gt;="&amp;$B$5)</f>
        <v>0</v>
      </c>
    </row>
    <row r="10" customFormat="false" ht="15" hidden="false" customHeight="false" outlineLevel="0" collapsed="false">
      <c r="A10" s="6" t="s">
        <v>9</v>
      </c>
      <c r="B10" s="7" t="n">
        <f aca="false">B9-B8</f>
        <v>0</v>
      </c>
    </row>
    <row r="11" customFormat="false" ht="15" hidden="false" customHeight="false" outlineLevel="0" collapsed="false">
      <c r="A11" s="8" t="s">
        <v>10</v>
      </c>
      <c r="B11" s="9" t="n">
        <f aca="false">SUMIFS(Movimientos!$C:$C,Movimientos!$B:$B,"Gasto",Movimientos!$A:$A,"&gt;="&amp;$B$6)</f>
        <v>0</v>
      </c>
    </row>
    <row r="12" customFormat="false" ht="15" hidden="false" customHeight="false" outlineLevel="0" collapsed="false">
      <c r="A12" s="6" t="s">
        <v>11</v>
      </c>
      <c r="B12" s="7" t="n">
        <f aca="true">IFERROR(B8/DAY(TODAY()),0)</f>
        <v>0</v>
      </c>
    </row>
    <row r="13" customFormat="false" ht="15" hidden="false" customHeight="false" outlineLevel="0" collapsed="false">
      <c r="A13" s="8" t="s">
        <v>12</v>
      </c>
      <c r="B13" s="9" t="n">
        <f aca="false">SUMIFS(Movimientos!$C:$C,Movimientos!$B:$B,"Gasto",Movimientos!$A:$A,"&gt;="&amp;EDATE($B$5,-1),Movimientos!$A:$A,"&lt;"&amp;$B$5)</f>
        <v>0</v>
      </c>
    </row>
    <row r="14" customFormat="false" ht="15" hidden="false" customHeight="false" outlineLevel="0" collapsed="false">
      <c r="A14" s="6" t="s">
        <v>13</v>
      </c>
      <c r="B14" s="7" t="n">
        <f aca="false">SUMIF(Deudas!$B:$B,"&gt;0")</f>
        <v>0</v>
      </c>
    </row>
    <row r="15" customFormat="false" ht="15" hidden="false" customHeight="false" outlineLevel="0" collapsed="false">
      <c r="A15" s="8" t="s">
        <v>14</v>
      </c>
      <c r="B15" s="9" t="n">
        <f aca="false">-SUMIF(Deudas!$B:$B,"&lt;0")</f>
        <v>-0</v>
      </c>
    </row>
    <row r="16" customFormat="false" ht="15" hidden="false" customHeight="false" outlineLevel="0" collapsed="false">
      <c r="A16" s="6" t="s">
        <v>15</v>
      </c>
      <c r="B16" s="7" t="n">
        <f aca="false">SUM(Metas!$C:$C)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5"/>
    <col collapsed="false" customWidth="true" hidden="false" outlineLevel="0" max="5" min="5" style="0" width="12"/>
  </cols>
  <sheetData>
    <row r="1" customFormat="false" ht="19.5" hidden="false" customHeight="true" outlineLevel="0" collapsed="false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</row>
    <row r="2" customFormat="false" ht="15" hidden="false" customHeight="false" outlineLevel="0" collapsed="false">
      <c r="A2" s="11" t="n">
        <f aca="false">EDATE(Resumen!$B$5,-11)</f>
        <v>45931</v>
      </c>
      <c r="B2" s="12" t="n">
        <f aca="false">SUMIFS(Movimientos!$C:$C,Movimientos!$B:$B,"Ingreso",Movimientos!$A:$A,"&gt;="&amp;A2,Movimientos!$A:$A,"&lt;"&amp;EDATE(A2,1))</f>
        <v>0</v>
      </c>
      <c r="C2" s="12" t="n">
        <f aca="false">SUMIFS(Movimientos!$C:$C,Movimientos!$B:$B,"Gasto",Movimientos!$A:$A,"&gt;="&amp;A2,Movimientos!$A:$A,"&lt;"&amp;EDATE(A2,1))</f>
        <v>0</v>
      </c>
      <c r="D2" s="12" t="n">
        <f aca="false">B2-C2</f>
        <v>0</v>
      </c>
      <c r="E2" s="13" t="str">
        <f aca="false">IF(B2&gt;0,C2/B2,"")</f>
        <v/>
      </c>
    </row>
    <row r="3" customFormat="false" ht="15" hidden="false" customHeight="false" outlineLevel="0" collapsed="false">
      <c r="A3" s="11" t="n">
        <f aca="false">EDATE(Resumen!$B$5,-10)</f>
        <v>45962</v>
      </c>
      <c r="B3" s="12" t="n">
        <f aca="false">SUMIFS(Movimientos!$C:$C,Movimientos!$B:$B,"Ingreso",Movimientos!$A:$A,"&gt;="&amp;A3,Movimientos!$A:$A,"&lt;"&amp;EDATE(A3,1))</f>
        <v>0</v>
      </c>
      <c r="C3" s="12" t="n">
        <f aca="false">SUMIFS(Movimientos!$C:$C,Movimientos!$B:$B,"Gasto",Movimientos!$A:$A,"&gt;="&amp;A3,Movimientos!$A:$A,"&lt;"&amp;EDATE(A3,1))</f>
        <v>0</v>
      </c>
      <c r="D3" s="12" t="n">
        <f aca="false">B3-C3</f>
        <v>0</v>
      </c>
      <c r="E3" s="13" t="str">
        <f aca="false">IF(B3&gt;0,C3/B3,"")</f>
        <v/>
      </c>
    </row>
    <row r="4" customFormat="false" ht="15" hidden="false" customHeight="false" outlineLevel="0" collapsed="false">
      <c r="A4" s="11" t="n">
        <f aca="false">EDATE(Resumen!$B$5,-9)</f>
        <v>45992</v>
      </c>
      <c r="B4" s="12" t="n">
        <f aca="false">SUMIFS(Movimientos!$C:$C,Movimientos!$B:$B,"Ingreso",Movimientos!$A:$A,"&gt;="&amp;A4,Movimientos!$A:$A,"&lt;"&amp;EDATE(A4,1))</f>
        <v>0</v>
      </c>
      <c r="C4" s="12" t="n">
        <f aca="false">SUMIFS(Movimientos!$C:$C,Movimientos!$B:$B,"Gasto",Movimientos!$A:$A,"&gt;="&amp;A4,Movimientos!$A:$A,"&lt;"&amp;EDATE(A4,1))</f>
        <v>0</v>
      </c>
      <c r="D4" s="12" t="n">
        <f aca="false">B4-C4</f>
        <v>0</v>
      </c>
      <c r="E4" s="13" t="str">
        <f aca="false">IF(B4&gt;0,C4/B4,"")</f>
        <v/>
      </c>
    </row>
    <row r="5" customFormat="false" ht="15" hidden="false" customHeight="false" outlineLevel="0" collapsed="false">
      <c r="A5" s="11" t="n">
        <f aca="false">EDATE(Resumen!$B$5,-8)</f>
        <v>46023</v>
      </c>
      <c r="B5" s="12" t="n">
        <f aca="false">SUMIFS(Movimientos!$C:$C,Movimientos!$B:$B,"Ingreso",Movimientos!$A:$A,"&gt;="&amp;A5,Movimientos!$A:$A,"&lt;"&amp;EDATE(A5,1))</f>
        <v>0</v>
      </c>
      <c r="C5" s="12" t="n">
        <f aca="false">SUMIFS(Movimientos!$C:$C,Movimientos!$B:$B,"Gasto",Movimientos!$A:$A,"&gt;="&amp;A5,Movimientos!$A:$A,"&lt;"&amp;EDATE(A5,1))</f>
        <v>0</v>
      </c>
      <c r="D5" s="12" t="n">
        <f aca="false">B5-C5</f>
        <v>0</v>
      </c>
      <c r="E5" s="13" t="str">
        <f aca="false">IF(B5&gt;0,C5/B5,"")</f>
        <v/>
      </c>
    </row>
    <row r="6" customFormat="false" ht="15" hidden="false" customHeight="false" outlineLevel="0" collapsed="false">
      <c r="A6" s="11" t="n">
        <f aca="false">EDATE(Resumen!$B$5,-7)</f>
        <v>46054</v>
      </c>
      <c r="B6" s="12" t="n">
        <f aca="false">SUMIFS(Movimientos!$C:$C,Movimientos!$B:$B,"Ingreso",Movimientos!$A:$A,"&gt;="&amp;A6,Movimientos!$A:$A,"&lt;"&amp;EDATE(A6,1))</f>
        <v>0</v>
      </c>
      <c r="C6" s="12" t="n">
        <f aca="false">SUMIFS(Movimientos!$C:$C,Movimientos!$B:$B,"Gasto",Movimientos!$A:$A,"&gt;="&amp;A6,Movimientos!$A:$A,"&lt;"&amp;EDATE(A6,1))</f>
        <v>0</v>
      </c>
      <c r="D6" s="12" t="n">
        <f aca="false">B6-C6</f>
        <v>0</v>
      </c>
      <c r="E6" s="13" t="str">
        <f aca="false">IF(B6&gt;0,C6/B6,"")</f>
        <v/>
      </c>
    </row>
    <row r="7" customFormat="false" ht="15" hidden="false" customHeight="false" outlineLevel="0" collapsed="false">
      <c r="A7" s="11" t="n">
        <f aca="false">EDATE(Resumen!$B$5,-6)</f>
        <v>46082</v>
      </c>
      <c r="B7" s="12" t="n">
        <f aca="false">SUMIFS(Movimientos!$C:$C,Movimientos!$B:$B,"Ingreso",Movimientos!$A:$A,"&gt;="&amp;A7,Movimientos!$A:$A,"&lt;"&amp;EDATE(A7,1))</f>
        <v>0</v>
      </c>
      <c r="C7" s="12" t="n">
        <f aca="false">SUMIFS(Movimientos!$C:$C,Movimientos!$B:$B,"Gasto",Movimientos!$A:$A,"&gt;="&amp;A7,Movimientos!$A:$A,"&lt;"&amp;EDATE(A7,1))</f>
        <v>0</v>
      </c>
      <c r="D7" s="12" t="n">
        <f aca="false">B7-C7</f>
        <v>0</v>
      </c>
      <c r="E7" s="13" t="str">
        <f aca="false">IF(B7&gt;0,C7/B7,"")</f>
        <v/>
      </c>
    </row>
    <row r="8" customFormat="false" ht="15" hidden="false" customHeight="false" outlineLevel="0" collapsed="false">
      <c r="A8" s="11" t="n">
        <f aca="false">EDATE(Resumen!$B$5,-5)</f>
        <v>46113</v>
      </c>
      <c r="B8" s="12" t="n">
        <f aca="false">SUMIFS(Movimientos!$C:$C,Movimientos!$B:$B,"Ingreso",Movimientos!$A:$A,"&gt;="&amp;A8,Movimientos!$A:$A,"&lt;"&amp;EDATE(A8,1))</f>
        <v>0</v>
      </c>
      <c r="C8" s="12" t="n">
        <f aca="false">SUMIFS(Movimientos!$C:$C,Movimientos!$B:$B,"Gasto",Movimientos!$A:$A,"&gt;="&amp;A8,Movimientos!$A:$A,"&lt;"&amp;EDATE(A8,1))</f>
        <v>0</v>
      </c>
      <c r="D8" s="12" t="n">
        <f aca="false">B8-C8</f>
        <v>0</v>
      </c>
      <c r="E8" s="13" t="str">
        <f aca="false">IF(B8&gt;0,C8/B8,"")</f>
        <v/>
      </c>
    </row>
    <row r="9" customFormat="false" ht="15" hidden="false" customHeight="false" outlineLevel="0" collapsed="false">
      <c r="A9" s="11" t="n">
        <f aca="false">EDATE(Resumen!$B$5,-4)</f>
        <v>46143</v>
      </c>
      <c r="B9" s="12" t="n">
        <f aca="false">SUMIFS(Movimientos!$C:$C,Movimientos!$B:$B,"Ingreso",Movimientos!$A:$A,"&gt;="&amp;A9,Movimientos!$A:$A,"&lt;"&amp;EDATE(A9,1))</f>
        <v>0</v>
      </c>
      <c r="C9" s="12" t="n">
        <f aca="false">SUMIFS(Movimientos!$C:$C,Movimientos!$B:$B,"Gasto",Movimientos!$A:$A,"&gt;="&amp;A9,Movimientos!$A:$A,"&lt;"&amp;EDATE(A9,1))</f>
        <v>0</v>
      </c>
      <c r="D9" s="12" t="n">
        <f aca="false">B9-C9</f>
        <v>0</v>
      </c>
      <c r="E9" s="13" t="str">
        <f aca="false">IF(B9&gt;0,C9/B9,"")</f>
        <v/>
      </c>
    </row>
    <row r="10" customFormat="false" ht="15" hidden="false" customHeight="false" outlineLevel="0" collapsed="false">
      <c r="A10" s="11" t="n">
        <f aca="false">EDATE(Resumen!$B$5,-3)</f>
        <v>46174</v>
      </c>
      <c r="B10" s="12" t="n">
        <f aca="false">SUMIFS(Movimientos!$C:$C,Movimientos!$B:$B,"Ingreso",Movimientos!$A:$A,"&gt;="&amp;A10,Movimientos!$A:$A,"&lt;"&amp;EDATE(A10,1))</f>
        <v>0</v>
      </c>
      <c r="C10" s="12" t="n">
        <f aca="false">SUMIFS(Movimientos!$C:$C,Movimientos!$B:$B,"Gasto",Movimientos!$A:$A,"&gt;="&amp;A10,Movimientos!$A:$A,"&lt;"&amp;EDATE(A10,1))</f>
        <v>0</v>
      </c>
      <c r="D10" s="12" t="n">
        <f aca="false">B10-C10</f>
        <v>0</v>
      </c>
      <c r="E10" s="13" t="str">
        <f aca="false">IF(B10&gt;0,C10/B10,"")</f>
        <v/>
      </c>
    </row>
    <row r="11" customFormat="false" ht="15" hidden="false" customHeight="false" outlineLevel="0" collapsed="false">
      <c r="A11" s="11" t="n">
        <f aca="false">EDATE(Resumen!$B$5,-2)</f>
        <v>46204</v>
      </c>
      <c r="B11" s="12" t="n">
        <f aca="false">SUMIFS(Movimientos!$C:$C,Movimientos!$B:$B,"Ingreso",Movimientos!$A:$A,"&gt;="&amp;A11,Movimientos!$A:$A,"&lt;"&amp;EDATE(A11,1))</f>
        <v>0</v>
      </c>
      <c r="C11" s="12" t="n">
        <f aca="false">SUMIFS(Movimientos!$C:$C,Movimientos!$B:$B,"Gasto",Movimientos!$A:$A,"&gt;="&amp;A11,Movimientos!$A:$A,"&lt;"&amp;EDATE(A11,1))</f>
        <v>0</v>
      </c>
      <c r="D11" s="12" t="n">
        <f aca="false">B11-C11</f>
        <v>0</v>
      </c>
      <c r="E11" s="13" t="str">
        <f aca="false">IF(B11&gt;0,C11/B11,"")</f>
        <v/>
      </c>
    </row>
    <row r="12" customFormat="false" ht="15" hidden="false" customHeight="false" outlineLevel="0" collapsed="false">
      <c r="A12" s="11" t="n">
        <f aca="false">EDATE(Resumen!$B$5,-1)</f>
        <v>46235</v>
      </c>
      <c r="B12" s="12" t="n">
        <f aca="false">SUMIFS(Movimientos!$C:$C,Movimientos!$B:$B,"Ingreso",Movimientos!$A:$A,"&gt;="&amp;A12,Movimientos!$A:$A,"&lt;"&amp;EDATE(A12,1))</f>
        <v>0</v>
      </c>
      <c r="C12" s="12" t="n">
        <f aca="false">SUMIFS(Movimientos!$C:$C,Movimientos!$B:$B,"Gasto",Movimientos!$A:$A,"&gt;="&amp;A12,Movimientos!$A:$A,"&lt;"&amp;EDATE(A12,1))</f>
        <v>0</v>
      </c>
      <c r="D12" s="12" t="n">
        <f aca="false">B12-C12</f>
        <v>0</v>
      </c>
      <c r="E12" s="13" t="str">
        <f aca="false">IF(B12&gt;0,C12/B12,"")</f>
        <v/>
      </c>
    </row>
    <row r="13" customFormat="false" ht="15" hidden="false" customHeight="false" outlineLevel="0" collapsed="false">
      <c r="A13" s="11" t="n">
        <f aca="false">EDATE(Resumen!$B$5,0)</f>
        <v>46266</v>
      </c>
      <c r="B13" s="12" t="n">
        <f aca="false">SUMIFS(Movimientos!$C:$C,Movimientos!$B:$B,"Ingreso",Movimientos!$A:$A,"&gt;="&amp;A13,Movimientos!$A:$A,"&lt;"&amp;EDATE(A13,1))</f>
        <v>0</v>
      </c>
      <c r="C13" s="12" t="n">
        <f aca="false">SUMIFS(Movimientos!$C:$C,Movimientos!$B:$B,"Gasto",Movimientos!$A:$A,"&gt;="&amp;A13,Movimientos!$A:$A,"&lt;"&amp;EDATE(A13,1))</f>
        <v>0</v>
      </c>
      <c r="D13" s="12" t="n">
        <f aca="false">B13-C13</f>
        <v>0</v>
      </c>
      <c r="E13" s="13" t="str">
        <f aca="false">IF(B13&gt;0,C13/B13,"")</f>
        <v/>
      </c>
    </row>
    <row r="14" customFormat="false" ht="15" hidden="false" customHeight="false" outlineLevel="0" collapsed="false">
      <c r="A14" s="14" t="s">
        <v>21</v>
      </c>
      <c r="B14" s="7" t="n">
        <f aca="false">SUM(B2:B13)</f>
        <v>0</v>
      </c>
      <c r="C14" s="7" t="n">
        <f aca="false">SUM(C2:C13)</f>
        <v>0</v>
      </c>
      <c r="D14" s="7" t="n">
        <f aca="false">SUM(D2:D13)</f>
        <v>0</v>
      </c>
      <c r="E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5"/>
  </cols>
  <sheetData>
    <row r="1" customFormat="false" ht="19.5" hidden="false" customHeight="true" outlineLevel="0" collapsed="false">
      <c r="A1" s="10" t="s">
        <v>22</v>
      </c>
      <c r="B1" s="10" t="s">
        <v>17</v>
      </c>
      <c r="C1" s="10" t="s">
        <v>18</v>
      </c>
      <c r="D1" s="10" t="s">
        <v>19</v>
      </c>
    </row>
    <row r="2" customFormat="false" ht="15" hidden="false" customHeight="false" outlineLevel="0" collapsed="false">
      <c r="A2" s="15" t="n">
        <f aca="false">Resumen!$B$6-7*11</f>
        <v>46209</v>
      </c>
      <c r="B2" s="12" t="n">
        <f aca="false">SUMIFS(Movimientos!$C:$C,Movimientos!$B:$B,"Ingreso",Movimientos!$A:$A,"&gt;="&amp;A2,Movimientos!$A:$A,"&lt;"&amp;(A2+7))</f>
        <v>0</v>
      </c>
      <c r="C2" s="12" t="n">
        <f aca="false">SUMIFS(Movimientos!$C:$C,Movimientos!$B:$B,"Gasto",Movimientos!$A:$A,"&gt;="&amp;A2,Movimientos!$A:$A,"&lt;"&amp;(A2+7))</f>
        <v>0</v>
      </c>
      <c r="D2" s="12" t="n">
        <f aca="false">B2-C2</f>
        <v>0</v>
      </c>
    </row>
    <row r="3" customFormat="false" ht="15" hidden="false" customHeight="false" outlineLevel="0" collapsed="false">
      <c r="A3" s="15" t="n">
        <f aca="false">Resumen!$B$6-7*10</f>
        <v>46216</v>
      </c>
      <c r="B3" s="12" t="n">
        <f aca="false">SUMIFS(Movimientos!$C:$C,Movimientos!$B:$B,"Ingreso",Movimientos!$A:$A,"&gt;="&amp;A3,Movimientos!$A:$A,"&lt;"&amp;(A3+7))</f>
        <v>0</v>
      </c>
      <c r="C3" s="12" t="n">
        <f aca="false">SUMIFS(Movimientos!$C:$C,Movimientos!$B:$B,"Gasto",Movimientos!$A:$A,"&gt;="&amp;A3,Movimientos!$A:$A,"&lt;"&amp;(A3+7))</f>
        <v>0</v>
      </c>
      <c r="D3" s="12" t="n">
        <f aca="false">B3-C3</f>
        <v>0</v>
      </c>
    </row>
    <row r="4" customFormat="false" ht="15" hidden="false" customHeight="false" outlineLevel="0" collapsed="false">
      <c r="A4" s="15" t="n">
        <f aca="false">Resumen!$B$6-7*9</f>
        <v>46223</v>
      </c>
      <c r="B4" s="12" t="n">
        <f aca="false">SUMIFS(Movimientos!$C:$C,Movimientos!$B:$B,"Ingreso",Movimientos!$A:$A,"&gt;="&amp;A4,Movimientos!$A:$A,"&lt;"&amp;(A4+7))</f>
        <v>0</v>
      </c>
      <c r="C4" s="12" t="n">
        <f aca="false">SUMIFS(Movimientos!$C:$C,Movimientos!$B:$B,"Gasto",Movimientos!$A:$A,"&gt;="&amp;A4,Movimientos!$A:$A,"&lt;"&amp;(A4+7))</f>
        <v>0</v>
      </c>
      <c r="D4" s="12" t="n">
        <f aca="false">B4-C4</f>
        <v>0</v>
      </c>
    </row>
    <row r="5" customFormat="false" ht="15" hidden="false" customHeight="false" outlineLevel="0" collapsed="false">
      <c r="A5" s="15" t="n">
        <f aca="false">Resumen!$B$6-7*8</f>
        <v>46230</v>
      </c>
      <c r="B5" s="12" t="n">
        <f aca="false">SUMIFS(Movimientos!$C:$C,Movimientos!$B:$B,"Ingreso",Movimientos!$A:$A,"&gt;="&amp;A5,Movimientos!$A:$A,"&lt;"&amp;(A5+7))</f>
        <v>0</v>
      </c>
      <c r="C5" s="12" t="n">
        <f aca="false">SUMIFS(Movimientos!$C:$C,Movimientos!$B:$B,"Gasto",Movimientos!$A:$A,"&gt;="&amp;A5,Movimientos!$A:$A,"&lt;"&amp;(A5+7))</f>
        <v>0</v>
      </c>
      <c r="D5" s="12" t="n">
        <f aca="false">B5-C5</f>
        <v>0</v>
      </c>
    </row>
    <row r="6" customFormat="false" ht="15" hidden="false" customHeight="false" outlineLevel="0" collapsed="false">
      <c r="A6" s="15" t="n">
        <f aca="false">Resumen!$B$6-7*7</f>
        <v>46237</v>
      </c>
      <c r="B6" s="12" t="n">
        <f aca="false">SUMIFS(Movimientos!$C:$C,Movimientos!$B:$B,"Ingreso",Movimientos!$A:$A,"&gt;="&amp;A6,Movimientos!$A:$A,"&lt;"&amp;(A6+7))</f>
        <v>0</v>
      </c>
      <c r="C6" s="12" t="n">
        <f aca="false">SUMIFS(Movimientos!$C:$C,Movimientos!$B:$B,"Gasto",Movimientos!$A:$A,"&gt;="&amp;A6,Movimientos!$A:$A,"&lt;"&amp;(A6+7))</f>
        <v>0</v>
      </c>
      <c r="D6" s="12" t="n">
        <f aca="false">B6-C6</f>
        <v>0</v>
      </c>
    </row>
    <row r="7" customFormat="false" ht="15" hidden="false" customHeight="false" outlineLevel="0" collapsed="false">
      <c r="A7" s="15" t="n">
        <f aca="false">Resumen!$B$6-7*6</f>
        <v>46244</v>
      </c>
      <c r="B7" s="12" t="n">
        <f aca="false">SUMIFS(Movimientos!$C:$C,Movimientos!$B:$B,"Ingreso",Movimientos!$A:$A,"&gt;="&amp;A7,Movimientos!$A:$A,"&lt;"&amp;(A7+7))</f>
        <v>0</v>
      </c>
      <c r="C7" s="12" t="n">
        <f aca="false">SUMIFS(Movimientos!$C:$C,Movimientos!$B:$B,"Gasto",Movimientos!$A:$A,"&gt;="&amp;A7,Movimientos!$A:$A,"&lt;"&amp;(A7+7))</f>
        <v>0</v>
      </c>
      <c r="D7" s="12" t="n">
        <f aca="false">B7-C7</f>
        <v>0</v>
      </c>
    </row>
    <row r="8" customFormat="false" ht="15" hidden="false" customHeight="false" outlineLevel="0" collapsed="false">
      <c r="A8" s="15" t="n">
        <f aca="false">Resumen!$B$6-7*5</f>
        <v>46251</v>
      </c>
      <c r="B8" s="12" t="n">
        <f aca="false">SUMIFS(Movimientos!$C:$C,Movimientos!$B:$B,"Ingreso",Movimientos!$A:$A,"&gt;="&amp;A8,Movimientos!$A:$A,"&lt;"&amp;(A8+7))</f>
        <v>0</v>
      </c>
      <c r="C8" s="12" t="n">
        <f aca="false">SUMIFS(Movimientos!$C:$C,Movimientos!$B:$B,"Gasto",Movimientos!$A:$A,"&gt;="&amp;A8,Movimientos!$A:$A,"&lt;"&amp;(A8+7))</f>
        <v>0</v>
      </c>
      <c r="D8" s="12" t="n">
        <f aca="false">B8-C8</f>
        <v>0</v>
      </c>
    </row>
    <row r="9" customFormat="false" ht="15" hidden="false" customHeight="false" outlineLevel="0" collapsed="false">
      <c r="A9" s="15" t="n">
        <f aca="false">Resumen!$B$6-7*4</f>
        <v>46258</v>
      </c>
      <c r="B9" s="12" t="n">
        <f aca="false">SUMIFS(Movimientos!$C:$C,Movimientos!$B:$B,"Ingreso",Movimientos!$A:$A,"&gt;="&amp;A9,Movimientos!$A:$A,"&lt;"&amp;(A9+7))</f>
        <v>0</v>
      </c>
      <c r="C9" s="12" t="n">
        <f aca="false">SUMIFS(Movimientos!$C:$C,Movimientos!$B:$B,"Gasto",Movimientos!$A:$A,"&gt;="&amp;A9,Movimientos!$A:$A,"&lt;"&amp;(A9+7))</f>
        <v>0</v>
      </c>
      <c r="D9" s="12" t="n">
        <f aca="false">B9-C9</f>
        <v>0</v>
      </c>
    </row>
    <row r="10" customFormat="false" ht="15" hidden="false" customHeight="false" outlineLevel="0" collapsed="false">
      <c r="A10" s="15" t="n">
        <f aca="false">Resumen!$B$6-7*3</f>
        <v>46265</v>
      </c>
      <c r="B10" s="12" t="n">
        <f aca="false">SUMIFS(Movimientos!$C:$C,Movimientos!$B:$B,"Ingreso",Movimientos!$A:$A,"&gt;="&amp;A10,Movimientos!$A:$A,"&lt;"&amp;(A10+7))</f>
        <v>0</v>
      </c>
      <c r="C10" s="12" t="n">
        <f aca="false">SUMIFS(Movimientos!$C:$C,Movimientos!$B:$B,"Gasto",Movimientos!$A:$A,"&gt;="&amp;A10,Movimientos!$A:$A,"&lt;"&amp;(A10+7))</f>
        <v>0</v>
      </c>
      <c r="D10" s="12" t="n">
        <f aca="false">B10-C10</f>
        <v>0</v>
      </c>
    </row>
    <row r="11" customFormat="false" ht="15" hidden="false" customHeight="false" outlineLevel="0" collapsed="false">
      <c r="A11" s="15" t="n">
        <f aca="false">Resumen!$B$6-7*2</f>
        <v>46272</v>
      </c>
      <c r="B11" s="12" t="n">
        <f aca="false">SUMIFS(Movimientos!$C:$C,Movimientos!$B:$B,"Ingreso",Movimientos!$A:$A,"&gt;="&amp;A11,Movimientos!$A:$A,"&lt;"&amp;(A11+7))</f>
        <v>0</v>
      </c>
      <c r="C11" s="12" t="n">
        <f aca="false">SUMIFS(Movimientos!$C:$C,Movimientos!$B:$B,"Gasto",Movimientos!$A:$A,"&gt;="&amp;A11,Movimientos!$A:$A,"&lt;"&amp;(A11+7))</f>
        <v>0</v>
      </c>
      <c r="D11" s="12" t="n">
        <f aca="false">B11-C11</f>
        <v>0</v>
      </c>
    </row>
    <row r="12" customFormat="false" ht="15" hidden="false" customHeight="false" outlineLevel="0" collapsed="false">
      <c r="A12" s="15" t="n">
        <f aca="false">Resumen!$B$6-7*1</f>
        <v>46279</v>
      </c>
      <c r="B12" s="12" t="n">
        <f aca="false">SUMIFS(Movimientos!$C:$C,Movimientos!$B:$B,"Ingreso",Movimientos!$A:$A,"&gt;="&amp;A12,Movimientos!$A:$A,"&lt;"&amp;(A12+7))</f>
        <v>0</v>
      </c>
      <c r="C12" s="12" t="n">
        <f aca="false">SUMIFS(Movimientos!$C:$C,Movimientos!$B:$B,"Gasto",Movimientos!$A:$A,"&gt;="&amp;A12,Movimientos!$A:$A,"&lt;"&amp;(A12+7))</f>
        <v>0</v>
      </c>
      <c r="D12" s="12" t="n">
        <f aca="false">B12-C12</f>
        <v>0</v>
      </c>
    </row>
    <row r="13" customFormat="false" ht="15" hidden="false" customHeight="false" outlineLevel="0" collapsed="false">
      <c r="A13" s="15" t="n">
        <f aca="false">Resumen!$B$6-7*0</f>
        <v>46286</v>
      </c>
      <c r="B13" s="12" t="n">
        <f aca="false">SUMIFS(Movimientos!$C:$C,Movimientos!$B:$B,"Ingreso",Movimientos!$A:$A,"&gt;="&amp;A13,Movimientos!$A:$A,"&lt;"&amp;(A13+7))</f>
        <v>0</v>
      </c>
      <c r="C13" s="12" t="n">
        <f aca="false">SUMIFS(Movimientos!$C:$C,Movimientos!$B:$B,"Gasto",Movimientos!$A:$A,"&gt;="&amp;A13,Movimientos!$A:$A,"&lt;"&amp;(A13+7))</f>
        <v>0</v>
      </c>
      <c r="D13" s="12" t="n">
        <f aca="false">B13-C13</f>
        <v>0</v>
      </c>
    </row>
    <row r="14" customFormat="false" ht="15" hidden="false" customHeight="false" outlineLevel="0" collapsed="false">
      <c r="A14" s="14" t="s">
        <v>23</v>
      </c>
      <c r="B14" s="2"/>
      <c r="C14" s="7" t="n">
        <f aca="false">AVERAGE(C2:C13)</f>
        <v>0</v>
      </c>
      <c r="D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5"/>
  </cols>
  <sheetData>
    <row r="1" customFormat="false" ht="19.5" hidden="false" customHeight="true" outlineLevel="0" collapsed="false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</row>
    <row r="2" customFormat="false" ht="15" hidden="false" customHeight="false" outlineLevel="0" collapsed="false">
      <c r="A2" s="2" t="s">
        <v>31</v>
      </c>
      <c r="B2" s="12" t="n">
        <f aca="false">SUMIFS(Movimientos!$C:$C,Movimientos!$B:$B,"Gasto",Movimientos!$D:$D,A2,Movimientos!$A:$A,"&gt;="&amp;Resumen!$B$5)</f>
        <v>0</v>
      </c>
      <c r="C2" s="12" t="n">
        <f aca="false">IFERROR(INDEX(Presupuestos!$B:$B,MATCH(A2,Presupuestos!$A:$A,0)),0)</f>
        <v>0</v>
      </c>
      <c r="D2" s="13" t="str">
        <f aca="false">IF(C2&gt;0,B2/C2,"")</f>
        <v/>
      </c>
      <c r="E2" s="12" t="str">
        <f aca="false">IF(C2&gt;0,C2-B2,"")</f>
        <v/>
      </c>
      <c r="F2" s="12" t="n">
        <f aca="false">SUMIFS(Movimientos!$C:$C,Movimientos!$B:$B,"Gasto",Movimientos!$D:$D,A2,Movimientos!$A:$A,"&gt;="&amp;EDATE(Resumen!$B$5,-1),Movimientos!$A:$A,"&lt;"&amp;Resumen!$B$5)</f>
        <v>0</v>
      </c>
      <c r="G2" s="16" t="str">
        <f aca="false">IF(F2&gt;0,B2/F2-1,"")</f>
        <v/>
      </c>
    </row>
    <row r="3" customFormat="false" ht="15" hidden="false" customHeight="false" outlineLevel="0" collapsed="false">
      <c r="A3" s="2" t="s">
        <v>32</v>
      </c>
      <c r="B3" s="12" t="n">
        <f aca="false">SUMIFS(Movimientos!$C:$C,Movimientos!$B:$B,"Gasto",Movimientos!$D:$D,A3,Movimientos!$A:$A,"&gt;="&amp;Resumen!$B$5)</f>
        <v>0</v>
      </c>
      <c r="C3" s="12" t="n">
        <f aca="false">IFERROR(INDEX(Presupuestos!$B:$B,MATCH(A3,Presupuestos!$A:$A,0)),0)</f>
        <v>0</v>
      </c>
      <c r="D3" s="13" t="str">
        <f aca="false">IF(C3&gt;0,B3/C3,"")</f>
        <v/>
      </c>
      <c r="E3" s="12" t="str">
        <f aca="false">IF(C3&gt;0,C3-B3,"")</f>
        <v/>
      </c>
      <c r="F3" s="12" t="n">
        <f aca="false">SUMIFS(Movimientos!$C:$C,Movimientos!$B:$B,"Gasto",Movimientos!$D:$D,A3,Movimientos!$A:$A,"&gt;="&amp;EDATE(Resumen!$B$5,-1),Movimientos!$A:$A,"&lt;"&amp;Resumen!$B$5)</f>
        <v>0</v>
      </c>
      <c r="G3" s="16" t="str">
        <f aca="false">IF(F3&gt;0,B3/F3-1,"")</f>
        <v/>
      </c>
    </row>
    <row r="4" customFormat="false" ht="15" hidden="false" customHeight="false" outlineLevel="0" collapsed="false">
      <c r="A4" s="2" t="s">
        <v>33</v>
      </c>
      <c r="B4" s="12" t="n">
        <f aca="false">SUMIFS(Movimientos!$C:$C,Movimientos!$B:$B,"Gasto",Movimientos!$D:$D,A4,Movimientos!$A:$A,"&gt;="&amp;Resumen!$B$5)</f>
        <v>0</v>
      </c>
      <c r="C4" s="12" t="n">
        <f aca="false">IFERROR(INDEX(Presupuestos!$B:$B,MATCH(A4,Presupuestos!$A:$A,0)),0)</f>
        <v>0</v>
      </c>
      <c r="D4" s="13" t="str">
        <f aca="false">IF(C4&gt;0,B4/C4,"")</f>
        <v/>
      </c>
      <c r="E4" s="12" t="str">
        <f aca="false">IF(C4&gt;0,C4-B4,"")</f>
        <v/>
      </c>
      <c r="F4" s="12" t="n">
        <f aca="false">SUMIFS(Movimientos!$C:$C,Movimientos!$B:$B,"Gasto",Movimientos!$D:$D,A4,Movimientos!$A:$A,"&gt;="&amp;EDATE(Resumen!$B$5,-1),Movimientos!$A:$A,"&lt;"&amp;Resumen!$B$5)</f>
        <v>0</v>
      </c>
      <c r="G4" s="16" t="str">
        <f aca="false">IF(F4&gt;0,B4/F4-1,"")</f>
        <v/>
      </c>
    </row>
    <row r="5" customFormat="false" ht="15" hidden="false" customHeight="false" outlineLevel="0" collapsed="false">
      <c r="A5" s="2" t="s">
        <v>34</v>
      </c>
      <c r="B5" s="12" t="n">
        <f aca="false">SUMIFS(Movimientos!$C:$C,Movimientos!$B:$B,"Gasto",Movimientos!$D:$D,A5,Movimientos!$A:$A,"&gt;="&amp;Resumen!$B$5)</f>
        <v>0</v>
      </c>
      <c r="C5" s="12" t="n">
        <f aca="false">IFERROR(INDEX(Presupuestos!$B:$B,MATCH(A5,Presupuestos!$A:$A,0)),0)</f>
        <v>0</v>
      </c>
      <c r="D5" s="13" t="str">
        <f aca="false">IF(C5&gt;0,B5/C5,"")</f>
        <v/>
      </c>
      <c r="E5" s="12" t="str">
        <f aca="false">IF(C5&gt;0,C5-B5,"")</f>
        <v/>
      </c>
      <c r="F5" s="12" t="n">
        <f aca="false">SUMIFS(Movimientos!$C:$C,Movimientos!$B:$B,"Gasto",Movimientos!$D:$D,A5,Movimientos!$A:$A,"&gt;="&amp;EDATE(Resumen!$B$5,-1),Movimientos!$A:$A,"&lt;"&amp;Resumen!$B$5)</f>
        <v>0</v>
      </c>
      <c r="G5" s="16" t="str">
        <f aca="false">IF(F5&gt;0,B5/F5-1,"")</f>
        <v/>
      </c>
    </row>
    <row r="6" customFormat="false" ht="15" hidden="false" customHeight="false" outlineLevel="0" collapsed="false">
      <c r="A6" s="2" t="s">
        <v>35</v>
      </c>
      <c r="B6" s="12" t="n">
        <f aca="false">SUMIFS(Movimientos!$C:$C,Movimientos!$B:$B,"Gasto",Movimientos!$D:$D,A6,Movimientos!$A:$A,"&gt;="&amp;Resumen!$B$5)</f>
        <v>0</v>
      </c>
      <c r="C6" s="12" t="n">
        <f aca="false">IFERROR(INDEX(Presupuestos!$B:$B,MATCH(A6,Presupuestos!$A:$A,0)),0)</f>
        <v>0</v>
      </c>
      <c r="D6" s="13" t="str">
        <f aca="false">IF(C6&gt;0,B6/C6,"")</f>
        <v/>
      </c>
      <c r="E6" s="12" t="str">
        <f aca="false">IF(C6&gt;0,C6-B6,"")</f>
        <v/>
      </c>
      <c r="F6" s="12" t="n">
        <f aca="false">SUMIFS(Movimientos!$C:$C,Movimientos!$B:$B,"Gasto",Movimientos!$D:$D,A6,Movimientos!$A:$A,"&gt;="&amp;EDATE(Resumen!$B$5,-1),Movimientos!$A:$A,"&lt;"&amp;Resumen!$B$5)</f>
        <v>0</v>
      </c>
      <c r="G6" s="16" t="str">
        <f aca="false">IF(F6&gt;0,B6/F6-1,"")</f>
        <v/>
      </c>
    </row>
    <row r="7" customFormat="false" ht="15" hidden="false" customHeight="false" outlineLevel="0" collapsed="false">
      <c r="A7" s="2" t="s">
        <v>36</v>
      </c>
      <c r="B7" s="12" t="n">
        <f aca="false">SUMIFS(Movimientos!$C:$C,Movimientos!$B:$B,"Gasto",Movimientos!$D:$D,A7,Movimientos!$A:$A,"&gt;="&amp;Resumen!$B$5)</f>
        <v>0</v>
      </c>
      <c r="C7" s="12" t="n">
        <f aca="false">IFERROR(INDEX(Presupuestos!$B:$B,MATCH(A7,Presupuestos!$A:$A,0)),0)</f>
        <v>0</v>
      </c>
      <c r="D7" s="13" t="str">
        <f aca="false">IF(C7&gt;0,B7/C7,"")</f>
        <v/>
      </c>
      <c r="E7" s="12" t="str">
        <f aca="false">IF(C7&gt;0,C7-B7,"")</f>
        <v/>
      </c>
      <c r="F7" s="12" t="n">
        <f aca="false">SUMIFS(Movimientos!$C:$C,Movimientos!$B:$B,"Gasto",Movimientos!$D:$D,A7,Movimientos!$A:$A,"&gt;="&amp;EDATE(Resumen!$B$5,-1),Movimientos!$A:$A,"&lt;"&amp;Resumen!$B$5)</f>
        <v>0</v>
      </c>
      <c r="G7" s="16" t="str">
        <f aca="false">IF(F7&gt;0,B7/F7-1,"")</f>
        <v/>
      </c>
    </row>
    <row r="8" customFormat="false" ht="15" hidden="false" customHeight="false" outlineLevel="0" collapsed="false">
      <c r="A8" s="2" t="s">
        <v>37</v>
      </c>
      <c r="B8" s="12" t="n">
        <f aca="false">SUMIFS(Movimientos!$C:$C,Movimientos!$B:$B,"Gasto",Movimientos!$D:$D,A8,Movimientos!$A:$A,"&gt;="&amp;Resumen!$B$5)</f>
        <v>0</v>
      </c>
      <c r="C8" s="12" t="n">
        <f aca="false">IFERROR(INDEX(Presupuestos!$B:$B,MATCH(A8,Presupuestos!$A:$A,0)),0)</f>
        <v>0</v>
      </c>
      <c r="D8" s="13" t="str">
        <f aca="false">IF(C8&gt;0,B8/C8,"")</f>
        <v/>
      </c>
      <c r="E8" s="12" t="str">
        <f aca="false">IF(C8&gt;0,C8-B8,"")</f>
        <v/>
      </c>
      <c r="F8" s="12" t="n">
        <f aca="false">SUMIFS(Movimientos!$C:$C,Movimientos!$B:$B,"Gasto",Movimientos!$D:$D,A8,Movimientos!$A:$A,"&gt;="&amp;EDATE(Resumen!$B$5,-1),Movimientos!$A:$A,"&lt;"&amp;Resumen!$B$5)</f>
        <v>0</v>
      </c>
      <c r="G8" s="16" t="str">
        <f aca="false">IF(F8&gt;0,B8/F8-1,"")</f>
        <v/>
      </c>
    </row>
    <row r="9" customFormat="false" ht="15" hidden="false" customHeight="false" outlineLevel="0" collapsed="false">
      <c r="A9" s="2" t="s">
        <v>38</v>
      </c>
      <c r="B9" s="12" t="n">
        <f aca="false">SUMIFS(Movimientos!$C:$C,Movimientos!$B:$B,"Gasto",Movimientos!$D:$D,A9,Movimientos!$A:$A,"&gt;="&amp;Resumen!$B$5)</f>
        <v>0</v>
      </c>
      <c r="C9" s="12" t="n">
        <f aca="false">IFERROR(INDEX(Presupuestos!$B:$B,MATCH(A9,Presupuestos!$A:$A,0)),0)</f>
        <v>0</v>
      </c>
      <c r="D9" s="13" t="str">
        <f aca="false">IF(C9&gt;0,B9/C9,"")</f>
        <v/>
      </c>
      <c r="E9" s="12" t="str">
        <f aca="false">IF(C9&gt;0,C9-B9,"")</f>
        <v/>
      </c>
      <c r="F9" s="12" t="n">
        <f aca="false">SUMIFS(Movimientos!$C:$C,Movimientos!$B:$B,"Gasto",Movimientos!$D:$D,A9,Movimientos!$A:$A,"&gt;="&amp;EDATE(Resumen!$B$5,-1),Movimientos!$A:$A,"&lt;"&amp;Resumen!$B$5)</f>
        <v>0</v>
      </c>
      <c r="G9" s="16" t="str">
        <f aca="false">IF(F9&gt;0,B9/F9-1,"")</f>
        <v/>
      </c>
    </row>
    <row r="10" customFormat="false" ht="15" hidden="false" customHeight="false" outlineLevel="0" collapsed="false">
      <c r="A10" s="2" t="s">
        <v>39</v>
      </c>
      <c r="B10" s="12" t="n">
        <f aca="false">SUMIFS(Movimientos!$C:$C,Movimientos!$B:$B,"Gasto",Movimientos!$D:$D,A10,Movimientos!$A:$A,"&gt;="&amp;Resumen!$B$5)</f>
        <v>0</v>
      </c>
      <c r="C10" s="12" t="n">
        <f aca="false">IFERROR(INDEX(Presupuestos!$B:$B,MATCH(A10,Presupuestos!$A:$A,0)),0)</f>
        <v>0</v>
      </c>
      <c r="D10" s="13" t="str">
        <f aca="false">IF(C10&gt;0,B10/C10,"")</f>
        <v/>
      </c>
      <c r="E10" s="12" t="str">
        <f aca="false">IF(C10&gt;0,C10-B10,"")</f>
        <v/>
      </c>
      <c r="F10" s="12" t="n">
        <f aca="false">SUMIFS(Movimientos!$C:$C,Movimientos!$B:$B,"Gasto",Movimientos!$D:$D,A10,Movimientos!$A:$A,"&gt;="&amp;EDATE(Resumen!$B$5,-1),Movimientos!$A:$A,"&lt;"&amp;Resumen!$B$5)</f>
        <v>0</v>
      </c>
      <c r="G10" s="16" t="str">
        <f aca="false">IF(F10&gt;0,B10/F10-1,"")</f>
        <v/>
      </c>
    </row>
    <row r="11" customFormat="false" ht="15" hidden="false" customHeight="false" outlineLevel="0" collapsed="false">
      <c r="A11" s="14" t="s">
        <v>40</v>
      </c>
      <c r="B11" s="7" t="n">
        <f aca="false">SUM(B2:B10)</f>
        <v>0</v>
      </c>
      <c r="C11" s="7" t="n">
        <f aca="false">SUM(C2:C10)</f>
        <v>0</v>
      </c>
      <c r="D11" s="2"/>
      <c r="E11" s="2"/>
      <c r="F11" s="7" t="n">
        <f aca="false">SUM(F2:F10)</f>
        <v>0</v>
      </c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19.5" hidden="false" customHeight="true" outlineLevel="0" collapsed="false">
      <c r="A1" s="10" t="s">
        <v>41</v>
      </c>
      <c r="B1" s="10" t="s">
        <v>42</v>
      </c>
      <c r="C1" s="10" t="s">
        <v>43</v>
      </c>
      <c r="D1" s="10" t="s">
        <v>24</v>
      </c>
      <c r="E1" s="10" t="s">
        <v>44</v>
      </c>
      <c r="F1" s="10" t="s">
        <v>45</v>
      </c>
      <c r="G1" s="10" t="s">
        <v>22</v>
      </c>
    </row>
    <row r="2" customFormat="false" ht="15" hidden="false" customHeight="false" outlineLevel="0" collapsed="false">
      <c r="A2" s="17"/>
      <c r="B2" s="2"/>
      <c r="C2" s="12"/>
      <c r="D2" s="2"/>
      <c r="E2" s="2"/>
      <c r="F2" s="2"/>
      <c r="G2" s="15"/>
    </row>
    <row r="3" customFormat="false" ht="15" hidden="false" customHeight="false" outlineLevel="0" collapsed="false">
      <c r="A3" s="17"/>
      <c r="B3" s="2"/>
      <c r="C3" s="12"/>
      <c r="D3" s="2"/>
      <c r="E3" s="2"/>
      <c r="F3" s="2"/>
      <c r="G3" s="15"/>
    </row>
    <row r="4" customFormat="false" ht="15" hidden="false" customHeight="false" outlineLevel="0" collapsed="false">
      <c r="A4" s="17"/>
      <c r="B4" s="2"/>
      <c r="C4" s="12"/>
      <c r="D4" s="2"/>
      <c r="E4" s="2"/>
      <c r="F4" s="2"/>
      <c r="G4" s="15"/>
    </row>
    <row r="5" customFormat="false" ht="15" hidden="false" customHeight="false" outlineLevel="0" collapsed="false">
      <c r="A5" s="17"/>
      <c r="B5" s="2"/>
      <c r="C5" s="12"/>
      <c r="D5" s="2"/>
      <c r="E5" s="2"/>
      <c r="F5" s="2"/>
      <c r="G5" s="15"/>
    </row>
    <row r="6" customFormat="false" ht="15" hidden="false" customHeight="false" outlineLevel="0" collapsed="false">
      <c r="A6" s="17"/>
      <c r="B6" s="2"/>
      <c r="C6" s="12"/>
      <c r="D6" s="2"/>
      <c r="E6" s="2"/>
      <c r="F6" s="2"/>
      <c r="G6" s="15"/>
    </row>
    <row r="7" customFormat="false" ht="15" hidden="false" customHeight="false" outlineLevel="0" collapsed="false">
      <c r="A7" s="17"/>
      <c r="B7" s="2"/>
      <c r="C7" s="12"/>
      <c r="D7" s="2"/>
      <c r="E7" s="2"/>
      <c r="F7" s="2"/>
      <c r="G7" s="15"/>
    </row>
    <row r="8" customFormat="false" ht="15" hidden="false" customHeight="false" outlineLevel="0" collapsed="false">
      <c r="A8" s="17"/>
      <c r="B8" s="2"/>
      <c r="C8" s="12"/>
      <c r="D8" s="2"/>
      <c r="E8" s="2"/>
      <c r="F8" s="2"/>
      <c r="G8" s="15"/>
    </row>
    <row r="9" customFormat="false" ht="15" hidden="false" customHeight="false" outlineLevel="0" collapsed="false">
      <c r="A9" s="17"/>
      <c r="B9" s="2"/>
      <c r="C9" s="12"/>
      <c r="D9" s="2"/>
      <c r="E9" s="2"/>
      <c r="F9" s="2"/>
      <c r="G9" s="15"/>
    </row>
    <row r="10" customFormat="false" ht="15" hidden="false" customHeight="false" outlineLevel="0" collapsed="false">
      <c r="A10" s="17"/>
      <c r="B10" s="2"/>
      <c r="C10" s="12"/>
      <c r="D10" s="2"/>
      <c r="E10" s="2"/>
      <c r="F10" s="2"/>
      <c r="G10" s="15"/>
    </row>
    <row r="11" customFormat="false" ht="15" hidden="false" customHeight="false" outlineLevel="0" collapsed="false">
      <c r="A11" s="17"/>
      <c r="B11" s="2"/>
      <c r="C11" s="12"/>
      <c r="D11" s="2"/>
      <c r="E11" s="2"/>
      <c r="F11" s="2"/>
      <c r="G11" s="15"/>
    </row>
    <row r="12" customFormat="false" ht="15" hidden="false" customHeight="false" outlineLevel="0" collapsed="false">
      <c r="A12" s="17"/>
      <c r="B12" s="2"/>
      <c r="C12" s="12"/>
      <c r="D12" s="2"/>
      <c r="E12" s="2"/>
      <c r="F12" s="2"/>
      <c r="G12" s="15"/>
    </row>
    <row r="13" customFormat="false" ht="15" hidden="false" customHeight="false" outlineLevel="0" collapsed="false">
      <c r="A13" s="17"/>
      <c r="B13" s="2"/>
      <c r="C13" s="12"/>
      <c r="D13" s="2"/>
      <c r="E13" s="2"/>
      <c r="F13" s="2"/>
      <c r="G13" s="15"/>
    </row>
    <row r="14" customFormat="false" ht="15" hidden="false" customHeight="false" outlineLevel="0" collapsed="false">
      <c r="A14" s="17"/>
      <c r="B14" s="2"/>
      <c r="C14" s="12"/>
      <c r="D14" s="2"/>
      <c r="E14" s="2"/>
      <c r="F14" s="2"/>
      <c r="G14" s="15"/>
    </row>
    <row r="15" customFormat="false" ht="15" hidden="false" customHeight="false" outlineLevel="0" collapsed="false">
      <c r="A15" s="17"/>
      <c r="B15" s="2"/>
      <c r="C15" s="12"/>
      <c r="D15" s="2"/>
      <c r="E15" s="2"/>
      <c r="F15" s="2"/>
      <c r="G15" s="15"/>
    </row>
    <row r="16" customFormat="false" ht="15" hidden="false" customHeight="false" outlineLevel="0" collapsed="false">
      <c r="A16" s="17"/>
      <c r="B16" s="2"/>
      <c r="C16" s="12"/>
      <c r="D16" s="2"/>
      <c r="E16" s="2"/>
      <c r="F16" s="2"/>
      <c r="G16" s="15"/>
    </row>
    <row r="17" customFormat="false" ht="15" hidden="false" customHeight="false" outlineLevel="0" collapsed="false">
      <c r="A17" s="17"/>
      <c r="B17" s="2"/>
      <c r="C17" s="12"/>
      <c r="D17" s="2"/>
      <c r="E17" s="2"/>
      <c r="F17" s="2"/>
      <c r="G17" s="15"/>
    </row>
    <row r="18" customFormat="false" ht="15" hidden="false" customHeight="false" outlineLevel="0" collapsed="false">
      <c r="A18" s="17"/>
      <c r="B18" s="2"/>
      <c r="C18" s="12"/>
      <c r="D18" s="2"/>
      <c r="E18" s="2"/>
      <c r="F18" s="2"/>
      <c r="G18" s="15"/>
    </row>
    <row r="19" customFormat="false" ht="15" hidden="false" customHeight="false" outlineLevel="0" collapsed="false">
      <c r="A19" s="17"/>
      <c r="B19" s="2"/>
      <c r="C19" s="12"/>
      <c r="D19" s="2"/>
      <c r="E19" s="2"/>
      <c r="F19" s="2"/>
      <c r="G19" s="15"/>
    </row>
    <row r="20" customFormat="false" ht="15" hidden="false" customHeight="false" outlineLevel="0" collapsed="false">
      <c r="A20" s="17"/>
      <c r="B20" s="2"/>
      <c r="C20" s="12"/>
      <c r="D20" s="2"/>
      <c r="E20" s="2"/>
      <c r="F20" s="2"/>
      <c r="G20" s="15"/>
    </row>
    <row r="21" customFormat="false" ht="15" hidden="false" customHeight="false" outlineLevel="0" collapsed="false">
      <c r="A21" s="18"/>
      <c r="C21" s="19"/>
      <c r="G21" s="20"/>
    </row>
    <row r="22" customFormat="false" ht="15" hidden="false" customHeight="false" outlineLevel="0" collapsed="false">
      <c r="A22" s="18"/>
      <c r="C22" s="19"/>
      <c r="G22" s="20"/>
    </row>
    <row r="23" customFormat="false" ht="15" hidden="false" customHeight="false" outlineLevel="0" collapsed="false">
      <c r="A23" s="18"/>
      <c r="C23" s="19"/>
      <c r="G23" s="20"/>
    </row>
    <row r="24" customFormat="false" ht="15" hidden="false" customHeight="false" outlineLevel="0" collapsed="false">
      <c r="A24" s="18"/>
      <c r="C24" s="19"/>
      <c r="G24" s="20"/>
    </row>
    <row r="25" customFormat="false" ht="15" hidden="false" customHeight="false" outlineLevel="0" collapsed="false">
      <c r="A25" s="18"/>
      <c r="C25" s="19"/>
      <c r="G25" s="20"/>
    </row>
    <row r="26" customFormat="false" ht="15" hidden="false" customHeight="false" outlineLevel="0" collapsed="false">
      <c r="A26" s="18"/>
      <c r="C26" s="19"/>
      <c r="G26" s="20"/>
    </row>
    <row r="27" customFormat="false" ht="15" hidden="false" customHeight="false" outlineLevel="0" collapsed="false">
      <c r="A27" s="18"/>
      <c r="C27" s="19"/>
      <c r="G27" s="20"/>
    </row>
    <row r="28" customFormat="false" ht="15" hidden="false" customHeight="false" outlineLevel="0" collapsed="false">
      <c r="A28" s="18"/>
      <c r="C28" s="19"/>
      <c r="G28" s="20"/>
    </row>
    <row r="29" customFormat="false" ht="15" hidden="false" customHeight="false" outlineLevel="0" collapsed="false">
      <c r="A29" s="18"/>
      <c r="C29" s="19"/>
      <c r="G29" s="20"/>
    </row>
    <row r="30" customFormat="false" ht="15" hidden="false" customHeight="false" outlineLevel="0" collapsed="false">
      <c r="A30" s="18"/>
      <c r="C30" s="19"/>
      <c r="G30" s="20"/>
    </row>
    <row r="31" customFormat="false" ht="15" hidden="false" customHeight="false" outlineLevel="0" collapsed="false">
      <c r="A31" s="18"/>
      <c r="C31" s="19"/>
      <c r="G31" s="20"/>
    </row>
    <row r="32" customFormat="false" ht="15" hidden="false" customHeight="false" outlineLevel="0" collapsed="false">
      <c r="A32" s="18"/>
      <c r="C32" s="19"/>
      <c r="G32" s="20"/>
    </row>
    <row r="33" customFormat="false" ht="15" hidden="false" customHeight="false" outlineLevel="0" collapsed="false">
      <c r="A33" s="18"/>
      <c r="C33" s="19"/>
      <c r="G33" s="20"/>
    </row>
    <row r="34" customFormat="false" ht="15" hidden="false" customHeight="false" outlineLevel="0" collapsed="false">
      <c r="A34" s="18"/>
      <c r="C34" s="19"/>
      <c r="G34" s="20"/>
    </row>
    <row r="35" customFormat="false" ht="15" hidden="false" customHeight="false" outlineLevel="0" collapsed="false">
      <c r="A35" s="18"/>
      <c r="C35" s="19"/>
      <c r="G35" s="20"/>
    </row>
    <row r="36" customFormat="false" ht="15" hidden="false" customHeight="false" outlineLevel="0" collapsed="false">
      <c r="A36" s="18"/>
      <c r="C36" s="19"/>
      <c r="G36" s="20"/>
    </row>
    <row r="37" customFormat="false" ht="15" hidden="false" customHeight="false" outlineLevel="0" collapsed="false">
      <c r="A37" s="18"/>
      <c r="C37" s="19"/>
      <c r="G37" s="20"/>
    </row>
    <row r="38" customFormat="false" ht="15" hidden="false" customHeight="false" outlineLevel="0" collapsed="false">
      <c r="A38" s="18"/>
      <c r="C38" s="19"/>
      <c r="G38" s="20"/>
    </row>
    <row r="39" customFormat="false" ht="15" hidden="false" customHeight="false" outlineLevel="0" collapsed="false">
      <c r="A39" s="18"/>
      <c r="C39" s="19"/>
      <c r="G39" s="20"/>
    </row>
    <row r="40" customFormat="false" ht="15" hidden="false" customHeight="false" outlineLevel="0" collapsed="false">
      <c r="A40" s="18"/>
      <c r="C40" s="19"/>
      <c r="G40" s="20"/>
    </row>
    <row r="41" customFormat="false" ht="15" hidden="false" customHeight="false" outlineLevel="0" collapsed="false">
      <c r="A41" s="18"/>
      <c r="C41" s="19"/>
      <c r="G41" s="20"/>
    </row>
    <row r="42" customFormat="false" ht="15" hidden="false" customHeight="false" outlineLevel="0" collapsed="false">
      <c r="A42" s="18"/>
      <c r="C42" s="19"/>
      <c r="G42" s="20"/>
    </row>
    <row r="43" customFormat="false" ht="15" hidden="false" customHeight="false" outlineLevel="0" collapsed="false">
      <c r="A43" s="18"/>
      <c r="C43" s="19"/>
      <c r="G43" s="20"/>
    </row>
    <row r="44" customFormat="false" ht="15" hidden="false" customHeight="false" outlineLevel="0" collapsed="false">
      <c r="A44" s="18"/>
      <c r="C44" s="19"/>
      <c r="G44" s="20"/>
    </row>
    <row r="45" customFormat="false" ht="15" hidden="false" customHeight="false" outlineLevel="0" collapsed="false">
      <c r="A45" s="18"/>
      <c r="C45" s="19"/>
      <c r="G45" s="20"/>
    </row>
    <row r="46" customFormat="false" ht="15" hidden="false" customHeight="false" outlineLevel="0" collapsed="false">
      <c r="A46" s="18"/>
      <c r="C46" s="19"/>
      <c r="G46" s="20"/>
    </row>
    <row r="47" customFormat="false" ht="15" hidden="false" customHeight="false" outlineLevel="0" collapsed="false">
      <c r="A47" s="18"/>
      <c r="C47" s="19"/>
      <c r="G47" s="20"/>
    </row>
    <row r="48" customFormat="false" ht="15" hidden="false" customHeight="false" outlineLevel="0" collapsed="false">
      <c r="A48" s="18"/>
      <c r="C48" s="19"/>
      <c r="G48" s="20"/>
    </row>
    <row r="49" customFormat="false" ht="15" hidden="false" customHeight="false" outlineLevel="0" collapsed="false">
      <c r="A49" s="18"/>
      <c r="C49" s="19"/>
      <c r="G49" s="20"/>
    </row>
    <row r="50" customFormat="false" ht="15" hidden="false" customHeight="false" outlineLevel="0" collapsed="false">
      <c r="A50" s="18"/>
      <c r="C50" s="19"/>
      <c r="G50" s="20"/>
    </row>
    <row r="51" customFormat="false" ht="15" hidden="false" customHeight="false" outlineLevel="0" collapsed="false">
      <c r="A51" s="18"/>
      <c r="C51" s="19"/>
      <c r="G51" s="20"/>
    </row>
    <row r="52" customFormat="false" ht="15" hidden="false" customHeight="false" outlineLevel="0" collapsed="false">
      <c r="A52" s="18"/>
      <c r="C52" s="19"/>
      <c r="G52" s="20"/>
    </row>
    <row r="53" customFormat="false" ht="15" hidden="false" customHeight="false" outlineLevel="0" collapsed="false">
      <c r="A53" s="18"/>
      <c r="C53" s="19"/>
      <c r="G53" s="20"/>
    </row>
    <row r="54" customFormat="false" ht="15" hidden="false" customHeight="false" outlineLevel="0" collapsed="false">
      <c r="A54" s="18"/>
      <c r="C54" s="19"/>
      <c r="G54" s="20"/>
    </row>
    <row r="55" customFormat="false" ht="15" hidden="false" customHeight="false" outlineLevel="0" collapsed="false">
      <c r="A55" s="18"/>
      <c r="C55" s="19"/>
      <c r="G55" s="20"/>
    </row>
    <row r="56" customFormat="false" ht="15" hidden="false" customHeight="false" outlineLevel="0" collapsed="false">
      <c r="A56" s="18"/>
      <c r="C56" s="19"/>
      <c r="G56" s="20"/>
    </row>
    <row r="57" customFormat="false" ht="15" hidden="false" customHeight="false" outlineLevel="0" collapsed="false">
      <c r="A57" s="18"/>
      <c r="C57" s="19"/>
      <c r="G57" s="20"/>
    </row>
    <row r="58" customFormat="false" ht="15" hidden="false" customHeight="false" outlineLevel="0" collapsed="false">
      <c r="A58" s="18"/>
      <c r="C58" s="19"/>
      <c r="G58" s="20"/>
    </row>
    <row r="59" customFormat="false" ht="15" hidden="false" customHeight="false" outlineLevel="0" collapsed="false">
      <c r="A59" s="18"/>
      <c r="C59" s="19"/>
      <c r="G59" s="20"/>
    </row>
    <row r="60" customFormat="false" ht="15" hidden="false" customHeight="false" outlineLevel="0" collapsed="false">
      <c r="A60" s="18"/>
      <c r="C60" s="19"/>
      <c r="G60" s="20"/>
    </row>
    <row r="61" customFormat="false" ht="15" hidden="false" customHeight="false" outlineLevel="0" collapsed="false">
      <c r="A61" s="18"/>
      <c r="C61" s="19"/>
      <c r="G61" s="20"/>
    </row>
    <row r="62" customFormat="false" ht="15" hidden="false" customHeight="false" outlineLevel="0" collapsed="false">
      <c r="A62" s="18"/>
      <c r="C62" s="19"/>
      <c r="G62" s="20"/>
    </row>
    <row r="63" customFormat="false" ht="15" hidden="false" customHeight="false" outlineLevel="0" collapsed="false">
      <c r="A63" s="18"/>
      <c r="C63" s="19"/>
      <c r="G63" s="20"/>
    </row>
    <row r="64" customFormat="false" ht="15" hidden="false" customHeight="false" outlineLevel="0" collapsed="false">
      <c r="A64" s="18"/>
      <c r="C64" s="19"/>
      <c r="G64" s="20"/>
    </row>
    <row r="65" customFormat="false" ht="15" hidden="false" customHeight="false" outlineLevel="0" collapsed="false">
      <c r="A65" s="18"/>
      <c r="C65" s="19"/>
      <c r="G65" s="20"/>
    </row>
    <row r="66" customFormat="false" ht="15" hidden="false" customHeight="false" outlineLevel="0" collapsed="false">
      <c r="A66" s="18"/>
      <c r="C66" s="19"/>
      <c r="G66" s="20"/>
    </row>
    <row r="67" customFormat="false" ht="15" hidden="false" customHeight="false" outlineLevel="0" collapsed="false">
      <c r="A67" s="18"/>
      <c r="C67" s="19"/>
      <c r="G67" s="20"/>
    </row>
    <row r="68" customFormat="false" ht="15" hidden="false" customHeight="false" outlineLevel="0" collapsed="false">
      <c r="A68" s="18"/>
      <c r="C68" s="19"/>
      <c r="G68" s="20"/>
    </row>
    <row r="69" customFormat="false" ht="15" hidden="false" customHeight="false" outlineLevel="0" collapsed="false">
      <c r="A69" s="18"/>
      <c r="C69" s="19"/>
      <c r="G69" s="20"/>
    </row>
    <row r="70" customFormat="false" ht="15" hidden="false" customHeight="false" outlineLevel="0" collapsed="false">
      <c r="A70" s="18"/>
      <c r="C70" s="19"/>
      <c r="G70" s="20"/>
    </row>
    <row r="71" customFormat="false" ht="15" hidden="false" customHeight="false" outlineLevel="0" collapsed="false">
      <c r="A71" s="18"/>
      <c r="C71" s="19"/>
      <c r="G71" s="20"/>
    </row>
    <row r="72" customFormat="false" ht="15" hidden="false" customHeight="false" outlineLevel="0" collapsed="false">
      <c r="A72" s="18"/>
      <c r="C72" s="19"/>
      <c r="G72" s="20"/>
    </row>
    <row r="73" customFormat="false" ht="15" hidden="false" customHeight="false" outlineLevel="0" collapsed="false">
      <c r="A73" s="18"/>
      <c r="C73" s="19"/>
      <c r="G73" s="20"/>
    </row>
    <row r="74" customFormat="false" ht="15" hidden="false" customHeight="false" outlineLevel="0" collapsed="false">
      <c r="A74" s="18"/>
      <c r="C74" s="19"/>
      <c r="G74" s="20"/>
    </row>
    <row r="75" customFormat="false" ht="15" hidden="false" customHeight="false" outlineLevel="0" collapsed="false">
      <c r="A75" s="18"/>
      <c r="C75" s="19"/>
      <c r="G75" s="20"/>
    </row>
    <row r="76" customFormat="false" ht="15" hidden="false" customHeight="false" outlineLevel="0" collapsed="false">
      <c r="A76" s="18"/>
      <c r="C76" s="19"/>
      <c r="G76" s="20"/>
    </row>
    <row r="77" customFormat="false" ht="15" hidden="false" customHeight="false" outlineLevel="0" collapsed="false">
      <c r="A77" s="18"/>
      <c r="C77" s="19"/>
      <c r="G77" s="20"/>
    </row>
    <row r="78" customFormat="false" ht="15" hidden="false" customHeight="false" outlineLevel="0" collapsed="false">
      <c r="A78" s="18"/>
      <c r="C78" s="19"/>
      <c r="G78" s="20"/>
    </row>
    <row r="79" customFormat="false" ht="15" hidden="false" customHeight="false" outlineLevel="0" collapsed="false">
      <c r="A79" s="18"/>
      <c r="C79" s="19"/>
      <c r="G79" s="20"/>
    </row>
    <row r="80" customFormat="false" ht="15" hidden="false" customHeight="false" outlineLevel="0" collapsed="false">
      <c r="A80" s="18"/>
      <c r="C80" s="19"/>
      <c r="G80" s="20"/>
    </row>
    <row r="81" customFormat="false" ht="15" hidden="false" customHeight="false" outlineLevel="0" collapsed="false">
      <c r="A81" s="18"/>
      <c r="C81" s="19"/>
      <c r="G81" s="20"/>
    </row>
    <row r="82" customFormat="false" ht="15" hidden="false" customHeight="false" outlineLevel="0" collapsed="false">
      <c r="A82" s="18"/>
      <c r="C82" s="19"/>
      <c r="G82" s="20"/>
    </row>
    <row r="83" customFormat="false" ht="15" hidden="false" customHeight="false" outlineLevel="0" collapsed="false">
      <c r="A83" s="18"/>
      <c r="C83" s="19"/>
      <c r="G83" s="20"/>
    </row>
    <row r="84" customFormat="false" ht="15" hidden="false" customHeight="false" outlineLevel="0" collapsed="false">
      <c r="A84" s="18"/>
      <c r="C84" s="19"/>
      <c r="G84" s="20"/>
    </row>
    <row r="85" customFormat="false" ht="15" hidden="false" customHeight="false" outlineLevel="0" collapsed="false">
      <c r="A85" s="18"/>
      <c r="C85" s="19"/>
      <c r="G85" s="20"/>
    </row>
    <row r="86" customFormat="false" ht="15" hidden="false" customHeight="false" outlineLevel="0" collapsed="false">
      <c r="A86" s="18"/>
      <c r="C86" s="19"/>
      <c r="G86" s="20"/>
    </row>
    <row r="87" customFormat="false" ht="15" hidden="false" customHeight="false" outlineLevel="0" collapsed="false">
      <c r="A87" s="18"/>
      <c r="C87" s="19"/>
      <c r="G87" s="20"/>
    </row>
    <row r="88" customFormat="false" ht="15" hidden="false" customHeight="false" outlineLevel="0" collapsed="false">
      <c r="A88" s="18"/>
      <c r="C88" s="19"/>
      <c r="G88" s="20"/>
    </row>
    <row r="89" customFormat="false" ht="15" hidden="false" customHeight="false" outlineLevel="0" collapsed="false">
      <c r="A89" s="18"/>
      <c r="C89" s="19"/>
      <c r="G89" s="20"/>
    </row>
    <row r="90" customFormat="false" ht="15" hidden="false" customHeight="false" outlineLevel="0" collapsed="false">
      <c r="A90" s="18"/>
      <c r="C90" s="19"/>
      <c r="G90" s="20"/>
    </row>
    <row r="91" customFormat="false" ht="15" hidden="false" customHeight="false" outlineLevel="0" collapsed="false">
      <c r="A91" s="18"/>
      <c r="C91" s="19"/>
      <c r="G91" s="20"/>
    </row>
    <row r="92" customFormat="false" ht="15" hidden="false" customHeight="false" outlineLevel="0" collapsed="false">
      <c r="A92" s="18"/>
      <c r="C92" s="19"/>
      <c r="G92" s="20"/>
    </row>
    <row r="93" customFormat="false" ht="15" hidden="false" customHeight="false" outlineLevel="0" collapsed="false">
      <c r="A93" s="18"/>
      <c r="C93" s="19"/>
      <c r="G93" s="20"/>
    </row>
    <row r="94" customFormat="false" ht="15" hidden="false" customHeight="false" outlineLevel="0" collapsed="false">
      <c r="A94" s="18"/>
      <c r="C94" s="19"/>
      <c r="G94" s="20"/>
    </row>
    <row r="95" customFormat="false" ht="15" hidden="false" customHeight="false" outlineLevel="0" collapsed="false">
      <c r="A95" s="18"/>
      <c r="C95" s="19"/>
      <c r="G95" s="20"/>
    </row>
    <row r="96" customFormat="false" ht="15" hidden="false" customHeight="false" outlineLevel="0" collapsed="false">
      <c r="A96" s="18"/>
      <c r="C96" s="19"/>
      <c r="G96" s="20"/>
    </row>
    <row r="97" customFormat="false" ht="15" hidden="false" customHeight="false" outlineLevel="0" collapsed="false">
      <c r="A97" s="18"/>
      <c r="C97" s="19"/>
      <c r="G97" s="20"/>
    </row>
    <row r="98" customFormat="false" ht="15" hidden="false" customHeight="false" outlineLevel="0" collapsed="false">
      <c r="A98" s="18"/>
      <c r="C98" s="19"/>
      <c r="G98" s="20"/>
    </row>
    <row r="99" customFormat="false" ht="15" hidden="false" customHeight="false" outlineLevel="0" collapsed="false">
      <c r="A99" s="18"/>
      <c r="C99" s="19"/>
      <c r="G99" s="20"/>
    </row>
    <row r="100" customFormat="false" ht="15" hidden="false" customHeight="false" outlineLevel="0" collapsed="false">
      <c r="A100" s="18"/>
      <c r="C100" s="19"/>
      <c r="G100" s="20"/>
    </row>
    <row r="101" customFormat="false" ht="15" hidden="false" customHeight="false" outlineLevel="0" collapsed="false">
      <c r="A101" s="18"/>
      <c r="C101" s="19"/>
      <c r="G101" s="20"/>
    </row>
    <row r="102" customFormat="false" ht="15" hidden="false" customHeight="false" outlineLevel="0" collapsed="false">
      <c r="A102" s="18"/>
      <c r="C102" s="19"/>
      <c r="G102" s="20"/>
    </row>
    <row r="103" customFormat="false" ht="15" hidden="false" customHeight="false" outlineLevel="0" collapsed="false">
      <c r="A103" s="18"/>
      <c r="C103" s="19"/>
      <c r="G103" s="20"/>
    </row>
    <row r="104" customFormat="false" ht="15" hidden="false" customHeight="false" outlineLevel="0" collapsed="false">
      <c r="A104" s="18"/>
      <c r="C104" s="19"/>
      <c r="G104" s="20"/>
    </row>
    <row r="105" customFormat="false" ht="15" hidden="false" customHeight="false" outlineLevel="0" collapsed="false">
      <c r="A105" s="18"/>
      <c r="C105" s="19"/>
      <c r="G105" s="20"/>
    </row>
    <row r="106" customFormat="false" ht="15" hidden="false" customHeight="false" outlineLevel="0" collapsed="false">
      <c r="A106" s="18"/>
      <c r="C106" s="19"/>
      <c r="G106" s="20"/>
    </row>
    <row r="107" customFormat="false" ht="15" hidden="false" customHeight="false" outlineLevel="0" collapsed="false">
      <c r="A107" s="18"/>
      <c r="C107" s="19"/>
      <c r="G107" s="20"/>
    </row>
    <row r="108" customFormat="false" ht="15" hidden="false" customHeight="false" outlineLevel="0" collapsed="false">
      <c r="A108" s="18"/>
      <c r="C108" s="19"/>
      <c r="G108" s="20"/>
    </row>
    <row r="109" customFormat="false" ht="15" hidden="false" customHeight="false" outlineLevel="0" collapsed="false">
      <c r="A109" s="18"/>
      <c r="C109" s="19"/>
      <c r="G109" s="20"/>
    </row>
    <row r="110" customFormat="false" ht="15" hidden="false" customHeight="false" outlineLevel="0" collapsed="false">
      <c r="A110" s="18"/>
      <c r="C110" s="19"/>
      <c r="G110" s="20"/>
    </row>
    <row r="111" customFormat="false" ht="15" hidden="false" customHeight="false" outlineLevel="0" collapsed="false">
      <c r="A111" s="18"/>
      <c r="C111" s="19"/>
      <c r="G111" s="20"/>
    </row>
    <row r="112" customFormat="false" ht="15" hidden="false" customHeight="false" outlineLevel="0" collapsed="false">
      <c r="A112" s="18"/>
      <c r="C112" s="19"/>
      <c r="G112" s="20"/>
    </row>
    <row r="113" customFormat="false" ht="15" hidden="false" customHeight="false" outlineLevel="0" collapsed="false">
      <c r="A113" s="18"/>
      <c r="C113" s="19"/>
      <c r="G113" s="20"/>
    </row>
    <row r="114" customFormat="false" ht="15" hidden="false" customHeight="false" outlineLevel="0" collapsed="false">
      <c r="A114" s="18"/>
      <c r="C114" s="19"/>
      <c r="G114" s="20"/>
    </row>
    <row r="115" customFormat="false" ht="15" hidden="false" customHeight="false" outlineLevel="0" collapsed="false">
      <c r="A115" s="18"/>
      <c r="C115" s="19"/>
      <c r="G115" s="20"/>
    </row>
    <row r="116" customFormat="false" ht="15" hidden="false" customHeight="false" outlineLevel="0" collapsed="false">
      <c r="A116" s="18"/>
      <c r="C116" s="19"/>
      <c r="G116" s="20"/>
    </row>
    <row r="117" customFormat="false" ht="15" hidden="false" customHeight="false" outlineLevel="0" collapsed="false">
      <c r="A117" s="18"/>
      <c r="C117" s="19"/>
      <c r="G117" s="20"/>
    </row>
    <row r="118" customFormat="false" ht="15" hidden="false" customHeight="false" outlineLevel="0" collapsed="false">
      <c r="A118" s="18"/>
      <c r="C118" s="19"/>
      <c r="G118" s="20"/>
    </row>
    <row r="119" customFormat="false" ht="15" hidden="false" customHeight="false" outlineLevel="0" collapsed="false">
      <c r="A119" s="18"/>
      <c r="C119" s="19"/>
      <c r="G119" s="20"/>
    </row>
    <row r="120" customFormat="false" ht="15" hidden="false" customHeight="false" outlineLevel="0" collapsed="false">
      <c r="A120" s="18"/>
      <c r="C120" s="19"/>
      <c r="G120" s="20"/>
    </row>
    <row r="121" customFormat="false" ht="15" hidden="false" customHeight="false" outlineLevel="0" collapsed="false">
      <c r="A121" s="18"/>
      <c r="C121" s="19"/>
      <c r="G121" s="20"/>
    </row>
    <row r="122" customFormat="false" ht="15" hidden="false" customHeight="false" outlineLevel="0" collapsed="false">
      <c r="A122" s="18"/>
      <c r="C122" s="19"/>
      <c r="G122" s="20"/>
    </row>
    <row r="123" customFormat="false" ht="15" hidden="false" customHeight="false" outlineLevel="0" collapsed="false">
      <c r="A123" s="18"/>
      <c r="C123" s="19"/>
      <c r="G123" s="20"/>
    </row>
    <row r="124" customFormat="false" ht="15" hidden="false" customHeight="false" outlineLevel="0" collapsed="false">
      <c r="A124" s="18"/>
      <c r="C124" s="19"/>
      <c r="G124" s="20"/>
    </row>
    <row r="125" customFormat="false" ht="15" hidden="false" customHeight="false" outlineLevel="0" collapsed="false">
      <c r="A125" s="18"/>
      <c r="C125" s="19"/>
      <c r="G125" s="20"/>
    </row>
    <row r="126" customFormat="false" ht="15" hidden="false" customHeight="false" outlineLevel="0" collapsed="false">
      <c r="A126" s="18"/>
      <c r="C126" s="19"/>
      <c r="G126" s="20"/>
    </row>
    <row r="127" customFormat="false" ht="15" hidden="false" customHeight="false" outlineLevel="0" collapsed="false">
      <c r="A127" s="18"/>
      <c r="C127" s="19"/>
      <c r="G127" s="20"/>
    </row>
    <row r="128" customFormat="false" ht="15" hidden="false" customHeight="false" outlineLevel="0" collapsed="false">
      <c r="A128" s="18"/>
      <c r="C128" s="19"/>
      <c r="G128" s="20"/>
    </row>
    <row r="129" customFormat="false" ht="15" hidden="false" customHeight="false" outlineLevel="0" collapsed="false">
      <c r="A129" s="18"/>
      <c r="C129" s="19"/>
      <c r="G129" s="20"/>
    </row>
    <row r="130" customFormat="false" ht="15" hidden="false" customHeight="false" outlineLevel="0" collapsed="false">
      <c r="A130" s="18"/>
      <c r="C130" s="19"/>
      <c r="G130" s="20"/>
    </row>
    <row r="131" customFormat="false" ht="15" hidden="false" customHeight="false" outlineLevel="0" collapsed="false">
      <c r="A131" s="18"/>
      <c r="C131" s="19"/>
      <c r="G131" s="20"/>
    </row>
    <row r="132" customFormat="false" ht="15" hidden="false" customHeight="false" outlineLevel="0" collapsed="false">
      <c r="A132" s="18"/>
      <c r="C132" s="19"/>
      <c r="G132" s="20"/>
    </row>
    <row r="133" customFormat="false" ht="15" hidden="false" customHeight="false" outlineLevel="0" collapsed="false">
      <c r="A133" s="18"/>
      <c r="C133" s="19"/>
      <c r="G133" s="20"/>
    </row>
    <row r="134" customFormat="false" ht="15" hidden="false" customHeight="false" outlineLevel="0" collapsed="false">
      <c r="A134" s="18"/>
      <c r="C134" s="19"/>
      <c r="G134" s="20"/>
    </row>
    <row r="135" customFormat="false" ht="15" hidden="false" customHeight="false" outlineLevel="0" collapsed="false">
      <c r="A135" s="18"/>
      <c r="C135" s="19"/>
      <c r="G135" s="20"/>
    </row>
    <row r="136" customFormat="false" ht="15" hidden="false" customHeight="false" outlineLevel="0" collapsed="false">
      <c r="A136" s="18"/>
      <c r="C136" s="19"/>
      <c r="G136" s="20"/>
    </row>
    <row r="137" customFormat="false" ht="15" hidden="false" customHeight="false" outlineLevel="0" collapsed="false">
      <c r="A137" s="18"/>
      <c r="C137" s="19"/>
      <c r="G137" s="20"/>
    </row>
    <row r="138" customFormat="false" ht="15" hidden="false" customHeight="false" outlineLevel="0" collapsed="false">
      <c r="A138" s="18"/>
      <c r="C138" s="19"/>
      <c r="G138" s="20"/>
    </row>
    <row r="139" customFormat="false" ht="15" hidden="false" customHeight="false" outlineLevel="0" collapsed="false">
      <c r="A139" s="18"/>
      <c r="C139" s="19"/>
      <c r="G139" s="20"/>
    </row>
    <row r="140" customFormat="false" ht="15" hidden="false" customHeight="false" outlineLevel="0" collapsed="false">
      <c r="A140" s="18"/>
      <c r="C140" s="19"/>
      <c r="G140" s="20"/>
    </row>
    <row r="141" customFormat="false" ht="15" hidden="false" customHeight="false" outlineLevel="0" collapsed="false">
      <c r="A141" s="18"/>
      <c r="C141" s="19"/>
      <c r="G141" s="20"/>
    </row>
    <row r="142" customFormat="false" ht="15" hidden="false" customHeight="false" outlineLevel="0" collapsed="false">
      <c r="A142" s="18"/>
      <c r="C142" s="19"/>
      <c r="G142" s="20"/>
    </row>
    <row r="143" customFormat="false" ht="15" hidden="false" customHeight="false" outlineLevel="0" collapsed="false">
      <c r="A143" s="18"/>
      <c r="C143" s="19"/>
      <c r="G143" s="20"/>
    </row>
    <row r="144" customFormat="false" ht="15" hidden="false" customHeight="false" outlineLevel="0" collapsed="false">
      <c r="A144" s="18"/>
      <c r="C144" s="19"/>
      <c r="G144" s="20"/>
    </row>
    <row r="145" customFormat="false" ht="15" hidden="false" customHeight="false" outlineLevel="0" collapsed="false">
      <c r="A145" s="18"/>
      <c r="C145" s="19"/>
      <c r="G145" s="20"/>
    </row>
    <row r="146" customFormat="false" ht="15" hidden="false" customHeight="false" outlineLevel="0" collapsed="false">
      <c r="A146" s="18"/>
      <c r="C146" s="19"/>
      <c r="G146" s="20"/>
    </row>
    <row r="147" customFormat="false" ht="15" hidden="false" customHeight="false" outlineLevel="0" collapsed="false">
      <c r="A147" s="18"/>
      <c r="C147" s="19"/>
      <c r="G147" s="20"/>
    </row>
    <row r="148" customFormat="false" ht="15" hidden="false" customHeight="false" outlineLevel="0" collapsed="false">
      <c r="A148" s="18"/>
      <c r="C148" s="19"/>
      <c r="G148" s="20"/>
    </row>
    <row r="149" customFormat="false" ht="15" hidden="false" customHeight="false" outlineLevel="0" collapsed="false">
      <c r="A149" s="18"/>
      <c r="C149" s="19"/>
      <c r="G149" s="20"/>
    </row>
    <row r="150" customFormat="false" ht="15" hidden="false" customHeight="false" outlineLevel="0" collapsed="false">
      <c r="A150" s="18"/>
      <c r="C150" s="19"/>
      <c r="G150" s="20"/>
    </row>
    <row r="151" customFormat="false" ht="15" hidden="false" customHeight="false" outlineLevel="0" collapsed="false">
      <c r="A151" s="18"/>
      <c r="C151" s="19"/>
      <c r="G151" s="20"/>
    </row>
    <row r="152" customFormat="false" ht="15" hidden="false" customHeight="false" outlineLevel="0" collapsed="false">
      <c r="A152" s="18"/>
      <c r="C152" s="19"/>
      <c r="G152" s="20"/>
    </row>
    <row r="153" customFormat="false" ht="15" hidden="false" customHeight="false" outlineLevel="0" collapsed="false">
      <c r="A153" s="18"/>
      <c r="C153" s="19"/>
      <c r="G153" s="20"/>
    </row>
    <row r="154" customFormat="false" ht="15" hidden="false" customHeight="false" outlineLevel="0" collapsed="false">
      <c r="A154" s="18"/>
      <c r="C154" s="19"/>
      <c r="G154" s="20"/>
    </row>
    <row r="155" customFormat="false" ht="15" hidden="false" customHeight="false" outlineLevel="0" collapsed="false">
      <c r="A155" s="18"/>
      <c r="C155" s="19"/>
      <c r="G155" s="20"/>
    </row>
    <row r="156" customFormat="false" ht="15" hidden="false" customHeight="false" outlineLevel="0" collapsed="false">
      <c r="A156" s="18"/>
      <c r="C156" s="19"/>
      <c r="G156" s="20"/>
    </row>
    <row r="157" customFormat="false" ht="15" hidden="false" customHeight="false" outlineLevel="0" collapsed="false">
      <c r="A157" s="18"/>
      <c r="C157" s="19"/>
      <c r="G157" s="20"/>
    </row>
    <row r="158" customFormat="false" ht="15" hidden="false" customHeight="false" outlineLevel="0" collapsed="false">
      <c r="A158" s="18"/>
      <c r="C158" s="19"/>
      <c r="G158" s="20"/>
    </row>
    <row r="159" customFormat="false" ht="15" hidden="false" customHeight="false" outlineLevel="0" collapsed="false">
      <c r="A159" s="18"/>
      <c r="C159" s="19"/>
      <c r="G159" s="20"/>
    </row>
    <row r="160" customFormat="false" ht="15" hidden="false" customHeight="false" outlineLevel="0" collapsed="false">
      <c r="A160" s="18"/>
      <c r="C160" s="19"/>
      <c r="G160" s="20"/>
    </row>
    <row r="161" customFormat="false" ht="15" hidden="false" customHeight="false" outlineLevel="0" collapsed="false">
      <c r="A161" s="18"/>
      <c r="C161" s="19"/>
      <c r="G161" s="20"/>
    </row>
    <row r="162" customFormat="false" ht="15" hidden="false" customHeight="false" outlineLevel="0" collapsed="false">
      <c r="A162" s="18"/>
      <c r="C162" s="19"/>
      <c r="G162" s="20"/>
    </row>
    <row r="163" customFormat="false" ht="15" hidden="false" customHeight="false" outlineLevel="0" collapsed="false">
      <c r="A163" s="18"/>
      <c r="C163" s="19"/>
      <c r="G163" s="20"/>
    </row>
    <row r="164" customFormat="false" ht="15" hidden="false" customHeight="false" outlineLevel="0" collapsed="false">
      <c r="A164" s="18"/>
      <c r="C164" s="19"/>
      <c r="G164" s="20"/>
    </row>
    <row r="165" customFormat="false" ht="15" hidden="false" customHeight="false" outlineLevel="0" collapsed="false">
      <c r="A165" s="18"/>
      <c r="C165" s="19"/>
      <c r="G165" s="20"/>
    </row>
    <row r="166" customFormat="false" ht="15" hidden="false" customHeight="false" outlineLevel="0" collapsed="false">
      <c r="A166" s="18"/>
      <c r="C166" s="19"/>
      <c r="G166" s="20"/>
    </row>
    <row r="167" customFormat="false" ht="15" hidden="false" customHeight="false" outlineLevel="0" collapsed="false">
      <c r="A167" s="18"/>
      <c r="C167" s="19"/>
      <c r="G167" s="20"/>
    </row>
    <row r="168" customFormat="false" ht="15" hidden="false" customHeight="false" outlineLevel="0" collapsed="false">
      <c r="A168" s="18"/>
      <c r="C168" s="19"/>
      <c r="G168" s="20"/>
    </row>
    <row r="169" customFormat="false" ht="15" hidden="false" customHeight="false" outlineLevel="0" collapsed="false">
      <c r="A169" s="18"/>
      <c r="C169" s="19"/>
      <c r="G169" s="20"/>
    </row>
    <row r="170" customFormat="false" ht="15" hidden="false" customHeight="false" outlineLevel="0" collapsed="false">
      <c r="A170" s="18"/>
      <c r="C170" s="19"/>
      <c r="G170" s="20"/>
    </row>
    <row r="171" customFormat="false" ht="15" hidden="false" customHeight="false" outlineLevel="0" collapsed="false">
      <c r="A171" s="18"/>
      <c r="C171" s="19"/>
      <c r="G171" s="20"/>
    </row>
    <row r="172" customFormat="false" ht="15" hidden="false" customHeight="false" outlineLevel="0" collapsed="false">
      <c r="A172" s="18"/>
      <c r="C172" s="19"/>
      <c r="G172" s="20"/>
    </row>
    <row r="173" customFormat="false" ht="15" hidden="false" customHeight="false" outlineLevel="0" collapsed="false">
      <c r="A173" s="18"/>
      <c r="C173" s="19"/>
      <c r="G173" s="20"/>
    </row>
    <row r="174" customFormat="false" ht="15" hidden="false" customHeight="false" outlineLevel="0" collapsed="false">
      <c r="A174" s="18"/>
      <c r="C174" s="19"/>
      <c r="G174" s="20"/>
    </row>
    <row r="175" customFormat="false" ht="15" hidden="false" customHeight="false" outlineLevel="0" collapsed="false">
      <c r="A175" s="18"/>
      <c r="C175" s="19"/>
      <c r="G175" s="20"/>
    </row>
    <row r="176" customFormat="false" ht="15" hidden="false" customHeight="false" outlineLevel="0" collapsed="false">
      <c r="A176" s="18"/>
      <c r="C176" s="19"/>
      <c r="G176" s="20"/>
    </row>
    <row r="177" customFormat="false" ht="15" hidden="false" customHeight="false" outlineLevel="0" collapsed="false">
      <c r="A177" s="18"/>
      <c r="C177" s="19"/>
      <c r="G177" s="20"/>
    </row>
    <row r="178" customFormat="false" ht="15" hidden="false" customHeight="false" outlineLevel="0" collapsed="false">
      <c r="A178" s="18"/>
      <c r="C178" s="19"/>
      <c r="G178" s="20"/>
    </row>
    <row r="179" customFormat="false" ht="15" hidden="false" customHeight="false" outlineLevel="0" collapsed="false">
      <c r="A179" s="18"/>
      <c r="C179" s="19"/>
      <c r="G179" s="20"/>
    </row>
    <row r="180" customFormat="false" ht="15" hidden="false" customHeight="false" outlineLevel="0" collapsed="false">
      <c r="A180" s="18"/>
      <c r="C180" s="19"/>
      <c r="G180" s="20"/>
    </row>
    <row r="181" customFormat="false" ht="15" hidden="false" customHeight="false" outlineLevel="0" collapsed="false">
      <c r="A181" s="18"/>
      <c r="C181" s="19"/>
      <c r="G181" s="20"/>
    </row>
    <row r="182" customFormat="false" ht="15" hidden="false" customHeight="false" outlineLevel="0" collapsed="false">
      <c r="A182" s="18"/>
      <c r="C182" s="19"/>
      <c r="G182" s="20"/>
    </row>
    <row r="183" customFormat="false" ht="15" hidden="false" customHeight="false" outlineLevel="0" collapsed="false">
      <c r="A183" s="18"/>
      <c r="C183" s="19"/>
      <c r="G183" s="20"/>
    </row>
    <row r="184" customFormat="false" ht="15" hidden="false" customHeight="false" outlineLevel="0" collapsed="false">
      <c r="A184" s="18"/>
      <c r="C184" s="19"/>
      <c r="G184" s="20"/>
    </row>
    <row r="185" customFormat="false" ht="15" hidden="false" customHeight="false" outlineLevel="0" collapsed="false">
      <c r="A185" s="18"/>
      <c r="C185" s="19"/>
      <c r="G185" s="20"/>
    </row>
    <row r="186" customFormat="false" ht="15" hidden="false" customHeight="false" outlineLevel="0" collapsed="false">
      <c r="A186" s="18"/>
      <c r="C186" s="19"/>
      <c r="G186" s="20"/>
    </row>
    <row r="187" customFormat="false" ht="15" hidden="false" customHeight="false" outlineLevel="0" collapsed="false">
      <c r="A187" s="18"/>
      <c r="C187" s="19"/>
      <c r="G187" s="20"/>
    </row>
    <row r="188" customFormat="false" ht="15" hidden="false" customHeight="false" outlineLevel="0" collapsed="false">
      <c r="A188" s="18"/>
      <c r="C188" s="19"/>
      <c r="G188" s="20"/>
    </row>
    <row r="189" customFormat="false" ht="15" hidden="false" customHeight="false" outlineLevel="0" collapsed="false">
      <c r="A189" s="18"/>
      <c r="C189" s="19"/>
      <c r="G189" s="20"/>
    </row>
    <row r="190" customFormat="false" ht="15" hidden="false" customHeight="false" outlineLevel="0" collapsed="false">
      <c r="A190" s="18"/>
      <c r="C190" s="19"/>
      <c r="G190" s="20"/>
    </row>
    <row r="191" customFormat="false" ht="15" hidden="false" customHeight="false" outlineLevel="0" collapsed="false">
      <c r="A191" s="18"/>
      <c r="C191" s="19"/>
      <c r="G191" s="20"/>
    </row>
    <row r="192" customFormat="false" ht="15" hidden="false" customHeight="false" outlineLevel="0" collapsed="false">
      <c r="A192" s="18"/>
      <c r="C192" s="19"/>
      <c r="G192" s="20"/>
    </row>
    <row r="193" customFormat="false" ht="15" hidden="false" customHeight="false" outlineLevel="0" collapsed="false">
      <c r="A193" s="18"/>
      <c r="C193" s="19"/>
      <c r="G193" s="20"/>
    </row>
    <row r="194" customFormat="false" ht="15" hidden="false" customHeight="false" outlineLevel="0" collapsed="false">
      <c r="A194" s="18"/>
      <c r="C194" s="19"/>
      <c r="G194" s="20"/>
    </row>
    <row r="195" customFormat="false" ht="15" hidden="false" customHeight="false" outlineLevel="0" collapsed="false">
      <c r="A195" s="18"/>
      <c r="C195" s="19"/>
      <c r="G195" s="20"/>
    </row>
    <row r="196" customFormat="false" ht="15" hidden="false" customHeight="false" outlineLevel="0" collapsed="false">
      <c r="A196" s="18"/>
      <c r="C196" s="19"/>
      <c r="G196" s="20"/>
    </row>
    <row r="197" customFormat="false" ht="15" hidden="false" customHeight="false" outlineLevel="0" collapsed="false">
      <c r="A197" s="18"/>
      <c r="C197" s="19"/>
      <c r="G197" s="20"/>
    </row>
    <row r="198" customFormat="false" ht="15" hidden="false" customHeight="false" outlineLevel="0" collapsed="false">
      <c r="A198" s="18"/>
      <c r="C198" s="19"/>
      <c r="G198" s="20"/>
    </row>
    <row r="199" customFormat="false" ht="15" hidden="false" customHeight="false" outlineLevel="0" collapsed="false">
      <c r="A199" s="18"/>
      <c r="C199" s="19"/>
      <c r="G199" s="20"/>
    </row>
    <row r="200" customFormat="false" ht="15" hidden="false" customHeight="false" outlineLevel="0" collapsed="false">
      <c r="A200" s="18"/>
      <c r="C200" s="19"/>
      <c r="G200" s="20"/>
    </row>
    <row r="201" customFormat="false" ht="15" hidden="false" customHeight="false" outlineLevel="0" collapsed="false">
      <c r="A201" s="18"/>
      <c r="C201" s="19"/>
      <c r="G201" s="20"/>
    </row>
    <row r="202" customFormat="false" ht="15" hidden="false" customHeight="false" outlineLevel="0" collapsed="false">
      <c r="A202" s="18"/>
      <c r="C202" s="19"/>
      <c r="G202" s="20"/>
    </row>
    <row r="203" customFormat="false" ht="15" hidden="false" customHeight="false" outlineLevel="0" collapsed="false">
      <c r="A203" s="18"/>
      <c r="C203" s="19"/>
      <c r="G203" s="20"/>
    </row>
    <row r="204" customFormat="false" ht="15" hidden="false" customHeight="false" outlineLevel="0" collapsed="false">
      <c r="A204" s="18"/>
      <c r="C204" s="19"/>
      <c r="G204" s="20"/>
    </row>
    <row r="205" customFormat="false" ht="15" hidden="false" customHeight="false" outlineLevel="0" collapsed="false">
      <c r="A205" s="18"/>
      <c r="C205" s="19"/>
      <c r="G205" s="20"/>
    </row>
    <row r="206" customFormat="false" ht="15" hidden="false" customHeight="false" outlineLevel="0" collapsed="false">
      <c r="A206" s="18"/>
      <c r="C206" s="19"/>
      <c r="G206" s="20"/>
    </row>
    <row r="207" customFormat="false" ht="15" hidden="false" customHeight="false" outlineLevel="0" collapsed="false">
      <c r="A207" s="18"/>
      <c r="C207" s="19"/>
      <c r="G207" s="20"/>
    </row>
    <row r="208" customFormat="false" ht="15" hidden="false" customHeight="false" outlineLevel="0" collapsed="false">
      <c r="A208" s="18"/>
      <c r="C208" s="19"/>
      <c r="G208" s="20"/>
    </row>
    <row r="209" customFormat="false" ht="15" hidden="false" customHeight="false" outlineLevel="0" collapsed="false">
      <c r="A209" s="18"/>
      <c r="C209" s="19"/>
      <c r="G209" s="20"/>
    </row>
    <row r="210" customFormat="false" ht="15" hidden="false" customHeight="false" outlineLevel="0" collapsed="false">
      <c r="A210" s="18"/>
      <c r="C210" s="19"/>
      <c r="G210" s="20"/>
    </row>
    <row r="211" customFormat="false" ht="15" hidden="false" customHeight="false" outlineLevel="0" collapsed="false">
      <c r="A211" s="18"/>
      <c r="C211" s="19"/>
      <c r="G211" s="20"/>
    </row>
    <row r="212" customFormat="false" ht="15" hidden="false" customHeight="false" outlineLevel="0" collapsed="false">
      <c r="A212" s="18"/>
      <c r="C212" s="19"/>
      <c r="G212" s="20"/>
    </row>
    <row r="213" customFormat="false" ht="15" hidden="false" customHeight="false" outlineLevel="0" collapsed="false">
      <c r="A213" s="18"/>
      <c r="C213" s="19"/>
      <c r="G213" s="20"/>
    </row>
    <row r="214" customFormat="false" ht="15" hidden="false" customHeight="false" outlineLevel="0" collapsed="false">
      <c r="A214" s="18"/>
      <c r="C214" s="19"/>
      <c r="G214" s="20"/>
    </row>
    <row r="215" customFormat="false" ht="15" hidden="false" customHeight="false" outlineLevel="0" collapsed="false">
      <c r="A215" s="18"/>
      <c r="C215" s="19"/>
      <c r="G215" s="20"/>
    </row>
    <row r="216" customFormat="false" ht="15" hidden="false" customHeight="false" outlineLevel="0" collapsed="false">
      <c r="A216" s="18"/>
      <c r="C216" s="19"/>
      <c r="G216" s="20"/>
    </row>
    <row r="217" customFormat="false" ht="15" hidden="false" customHeight="false" outlineLevel="0" collapsed="false">
      <c r="A217" s="18"/>
      <c r="C217" s="19"/>
      <c r="G217" s="20"/>
    </row>
    <row r="218" customFormat="false" ht="15" hidden="false" customHeight="false" outlineLevel="0" collapsed="false">
      <c r="A218" s="18"/>
      <c r="C218" s="19"/>
      <c r="G218" s="20"/>
    </row>
    <row r="219" customFormat="false" ht="15" hidden="false" customHeight="false" outlineLevel="0" collapsed="false">
      <c r="A219" s="18"/>
      <c r="C219" s="19"/>
      <c r="G219" s="20"/>
    </row>
    <row r="220" customFormat="false" ht="15" hidden="false" customHeight="false" outlineLevel="0" collapsed="false">
      <c r="A220" s="18"/>
      <c r="C220" s="19"/>
      <c r="G220" s="20"/>
    </row>
    <row r="221" customFormat="false" ht="15" hidden="false" customHeight="false" outlineLevel="0" collapsed="false">
      <c r="A221" s="18"/>
      <c r="C221" s="19"/>
      <c r="G221" s="20"/>
    </row>
    <row r="222" customFormat="false" ht="15" hidden="false" customHeight="false" outlineLevel="0" collapsed="false">
      <c r="A222" s="18"/>
      <c r="C222" s="19"/>
      <c r="G222" s="20"/>
    </row>
    <row r="223" customFormat="false" ht="15" hidden="false" customHeight="false" outlineLevel="0" collapsed="false">
      <c r="A223" s="18"/>
      <c r="C223" s="19"/>
      <c r="G223" s="20"/>
    </row>
    <row r="224" customFormat="false" ht="15" hidden="false" customHeight="false" outlineLevel="0" collapsed="false">
      <c r="A224" s="18"/>
      <c r="C224" s="19"/>
      <c r="G224" s="20"/>
    </row>
    <row r="225" customFormat="false" ht="15" hidden="false" customHeight="false" outlineLevel="0" collapsed="false">
      <c r="A225" s="18"/>
      <c r="C225" s="19"/>
      <c r="G225" s="20"/>
    </row>
    <row r="226" customFormat="false" ht="15" hidden="false" customHeight="false" outlineLevel="0" collapsed="false">
      <c r="A226" s="18"/>
      <c r="C226" s="19"/>
      <c r="G226" s="20"/>
    </row>
    <row r="227" customFormat="false" ht="15" hidden="false" customHeight="false" outlineLevel="0" collapsed="false">
      <c r="A227" s="18"/>
      <c r="C227" s="19"/>
      <c r="G227" s="20"/>
    </row>
    <row r="228" customFormat="false" ht="15" hidden="false" customHeight="false" outlineLevel="0" collapsed="false">
      <c r="A228" s="18"/>
      <c r="C228" s="19"/>
      <c r="G228" s="20"/>
    </row>
    <row r="229" customFormat="false" ht="15" hidden="false" customHeight="false" outlineLevel="0" collapsed="false">
      <c r="A229" s="18"/>
      <c r="C229" s="19"/>
      <c r="G229" s="20"/>
    </row>
    <row r="230" customFormat="false" ht="15" hidden="false" customHeight="false" outlineLevel="0" collapsed="false">
      <c r="A230" s="18"/>
      <c r="C230" s="19"/>
      <c r="G230" s="20"/>
    </row>
    <row r="231" customFormat="false" ht="15" hidden="false" customHeight="false" outlineLevel="0" collapsed="false">
      <c r="A231" s="18"/>
      <c r="C231" s="19"/>
      <c r="G231" s="20"/>
    </row>
    <row r="232" customFormat="false" ht="15" hidden="false" customHeight="false" outlineLevel="0" collapsed="false">
      <c r="A232" s="18"/>
      <c r="C232" s="19"/>
      <c r="G232" s="20"/>
    </row>
    <row r="233" customFormat="false" ht="15" hidden="false" customHeight="false" outlineLevel="0" collapsed="false">
      <c r="A233" s="18"/>
      <c r="C233" s="19"/>
      <c r="G233" s="20"/>
    </row>
    <row r="234" customFormat="false" ht="15" hidden="false" customHeight="false" outlineLevel="0" collapsed="false">
      <c r="A234" s="18"/>
      <c r="C234" s="19"/>
      <c r="G234" s="20"/>
    </row>
    <row r="235" customFormat="false" ht="15" hidden="false" customHeight="false" outlineLevel="0" collapsed="false">
      <c r="A235" s="18"/>
      <c r="C235" s="19"/>
      <c r="G235" s="20"/>
    </row>
    <row r="236" customFormat="false" ht="15" hidden="false" customHeight="false" outlineLevel="0" collapsed="false">
      <c r="A236" s="18"/>
      <c r="C236" s="19"/>
      <c r="G236" s="20"/>
    </row>
    <row r="237" customFormat="false" ht="15" hidden="false" customHeight="false" outlineLevel="0" collapsed="false">
      <c r="A237" s="18"/>
      <c r="C237" s="19"/>
      <c r="G237" s="20"/>
    </row>
    <row r="238" customFormat="false" ht="15" hidden="false" customHeight="false" outlineLevel="0" collapsed="false">
      <c r="A238" s="18"/>
      <c r="C238" s="19"/>
      <c r="G238" s="20"/>
    </row>
    <row r="239" customFormat="false" ht="15" hidden="false" customHeight="false" outlineLevel="0" collapsed="false">
      <c r="A239" s="18"/>
      <c r="C239" s="19"/>
      <c r="G239" s="20"/>
    </row>
    <row r="240" customFormat="false" ht="15" hidden="false" customHeight="false" outlineLevel="0" collapsed="false">
      <c r="A240" s="18"/>
      <c r="C240" s="19"/>
      <c r="G240" s="20"/>
    </row>
    <row r="241" customFormat="false" ht="15" hidden="false" customHeight="false" outlineLevel="0" collapsed="false">
      <c r="A241" s="18"/>
      <c r="C241" s="19"/>
      <c r="G241" s="20"/>
    </row>
    <row r="242" customFormat="false" ht="15" hidden="false" customHeight="false" outlineLevel="0" collapsed="false">
      <c r="A242" s="18"/>
      <c r="C242" s="19"/>
      <c r="G242" s="20"/>
    </row>
    <row r="243" customFormat="false" ht="15" hidden="false" customHeight="false" outlineLevel="0" collapsed="false">
      <c r="A243" s="18"/>
      <c r="C243" s="19"/>
      <c r="G243" s="20"/>
    </row>
    <row r="244" customFormat="false" ht="15" hidden="false" customHeight="false" outlineLevel="0" collapsed="false">
      <c r="A244" s="18"/>
      <c r="C244" s="19"/>
      <c r="G244" s="20"/>
    </row>
    <row r="245" customFormat="false" ht="15" hidden="false" customHeight="false" outlineLevel="0" collapsed="false">
      <c r="A245" s="18"/>
      <c r="C245" s="19"/>
      <c r="G245" s="20"/>
    </row>
    <row r="246" customFormat="false" ht="15" hidden="false" customHeight="false" outlineLevel="0" collapsed="false">
      <c r="A246" s="18"/>
      <c r="C246" s="19"/>
      <c r="G246" s="20"/>
    </row>
    <row r="247" customFormat="false" ht="15" hidden="false" customHeight="false" outlineLevel="0" collapsed="false">
      <c r="A247" s="18"/>
      <c r="C247" s="19"/>
      <c r="G247" s="20"/>
    </row>
    <row r="248" customFormat="false" ht="15" hidden="false" customHeight="false" outlineLevel="0" collapsed="false">
      <c r="A248" s="18"/>
      <c r="C248" s="19"/>
      <c r="G248" s="20"/>
    </row>
    <row r="249" customFormat="false" ht="15" hidden="false" customHeight="false" outlineLevel="0" collapsed="false">
      <c r="A249" s="18"/>
      <c r="C249" s="19"/>
      <c r="G249" s="20"/>
    </row>
    <row r="250" customFormat="false" ht="15" hidden="false" customHeight="false" outlineLevel="0" collapsed="false">
      <c r="A250" s="18"/>
      <c r="C250" s="19"/>
      <c r="G250" s="20"/>
    </row>
    <row r="251" customFormat="false" ht="15" hidden="false" customHeight="false" outlineLevel="0" collapsed="false">
      <c r="A251" s="18"/>
      <c r="C251" s="19"/>
      <c r="G251" s="20"/>
    </row>
    <row r="252" customFormat="false" ht="15" hidden="false" customHeight="false" outlineLevel="0" collapsed="false">
      <c r="A252" s="18"/>
      <c r="C252" s="19"/>
      <c r="G252" s="20"/>
    </row>
    <row r="253" customFormat="false" ht="15" hidden="false" customHeight="false" outlineLevel="0" collapsed="false">
      <c r="A253" s="18"/>
      <c r="C253" s="19"/>
      <c r="G253" s="20"/>
    </row>
    <row r="254" customFormat="false" ht="15" hidden="false" customHeight="false" outlineLevel="0" collapsed="false">
      <c r="A254" s="18"/>
      <c r="C254" s="19"/>
      <c r="G254" s="20"/>
    </row>
    <row r="255" customFormat="false" ht="15" hidden="false" customHeight="false" outlineLevel="0" collapsed="false">
      <c r="A255" s="18"/>
      <c r="C255" s="19"/>
      <c r="G255" s="20"/>
    </row>
    <row r="256" customFormat="false" ht="15" hidden="false" customHeight="false" outlineLevel="0" collapsed="false">
      <c r="A256" s="18"/>
      <c r="C256" s="19"/>
      <c r="G256" s="20"/>
    </row>
    <row r="257" customFormat="false" ht="15" hidden="false" customHeight="false" outlineLevel="0" collapsed="false">
      <c r="A257" s="18"/>
      <c r="C257" s="19"/>
      <c r="G257" s="20"/>
    </row>
    <row r="258" customFormat="false" ht="15" hidden="false" customHeight="false" outlineLevel="0" collapsed="false">
      <c r="A258" s="18"/>
      <c r="C258" s="19"/>
      <c r="G258" s="20"/>
    </row>
    <row r="259" customFormat="false" ht="15" hidden="false" customHeight="false" outlineLevel="0" collapsed="false">
      <c r="A259" s="18"/>
      <c r="C259" s="19"/>
      <c r="G259" s="20"/>
    </row>
    <row r="260" customFormat="false" ht="15" hidden="false" customHeight="false" outlineLevel="0" collapsed="false">
      <c r="A260" s="18"/>
      <c r="C260" s="19"/>
      <c r="G260" s="20"/>
    </row>
    <row r="261" customFormat="false" ht="15" hidden="false" customHeight="false" outlineLevel="0" collapsed="false">
      <c r="A261" s="18"/>
      <c r="C261" s="19"/>
      <c r="G261" s="20"/>
    </row>
    <row r="262" customFormat="false" ht="15" hidden="false" customHeight="false" outlineLevel="0" collapsed="false">
      <c r="A262" s="18"/>
      <c r="C262" s="19"/>
      <c r="G262" s="20"/>
    </row>
    <row r="263" customFormat="false" ht="15" hidden="false" customHeight="false" outlineLevel="0" collapsed="false">
      <c r="A263" s="18"/>
      <c r="C263" s="19"/>
      <c r="G263" s="20"/>
    </row>
    <row r="264" customFormat="false" ht="15" hidden="false" customHeight="false" outlineLevel="0" collapsed="false">
      <c r="A264" s="18"/>
      <c r="C264" s="19"/>
      <c r="G264" s="20"/>
    </row>
    <row r="265" customFormat="false" ht="15" hidden="false" customHeight="false" outlineLevel="0" collapsed="false">
      <c r="A265" s="18"/>
      <c r="C265" s="19"/>
      <c r="G265" s="20"/>
    </row>
    <row r="266" customFormat="false" ht="15" hidden="false" customHeight="false" outlineLevel="0" collapsed="false">
      <c r="A266" s="18"/>
      <c r="C266" s="19"/>
      <c r="G266" s="20"/>
    </row>
    <row r="267" customFormat="false" ht="15" hidden="false" customHeight="false" outlineLevel="0" collapsed="false">
      <c r="A267" s="18"/>
      <c r="C267" s="19"/>
      <c r="G267" s="20"/>
    </row>
    <row r="268" customFormat="false" ht="15" hidden="false" customHeight="false" outlineLevel="0" collapsed="false">
      <c r="A268" s="18"/>
      <c r="C268" s="19"/>
      <c r="G268" s="20"/>
    </row>
    <row r="269" customFormat="false" ht="15" hidden="false" customHeight="false" outlineLevel="0" collapsed="false">
      <c r="A269" s="18"/>
      <c r="C269" s="19"/>
      <c r="G269" s="20"/>
    </row>
    <row r="270" customFormat="false" ht="15" hidden="false" customHeight="false" outlineLevel="0" collapsed="false">
      <c r="A270" s="18"/>
      <c r="C270" s="19"/>
      <c r="G270" s="20"/>
    </row>
    <row r="271" customFormat="false" ht="15" hidden="false" customHeight="false" outlineLevel="0" collapsed="false">
      <c r="A271" s="18"/>
      <c r="C271" s="19"/>
      <c r="G271" s="20"/>
    </row>
    <row r="272" customFormat="false" ht="15" hidden="false" customHeight="false" outlineLevel="0" collapsed="false">
      <c r="A272" s="18"/>
      <c r="C272" s="19"/>
      <c r="G272" s="20"/>
    </row>
    <row r="273" customFormat="false" ht="15" hidden="false" customHeight="false" outlineLevel="0" collapsed="false">
      <c r="A273" s="18"/>
      <c r="C273" s="19"/>
      <c r="G273" s="20"/>
    </row>
    <row r="274" customFormat="false" ht="15" hidden="false" customHeight="false" outlineLevel="0" collapsed="false">
      <c r="A274" s="18"/>
      <c r="C274" s="19"/>
      <c r="G274" s="20"/>
    </row>
    <row r="275" customFormat="false" ht="15" hidden="false" customHeight="false" outlineLevel="0" collapsed="false">
      <c r="A275" s="18"/>
      <c r="C275" s="19"/>
      <c r="G275" s="20"/>
    </row>
    <row r="276" customFormat="false" ht="15" hidden="false" customHeight="false" outlineLevel="0" collapsed="false">
      <c r="A276" s="18"/>
      <c r="C276" s="19"/>
      <c r="G276" s="20"/>
    </row>
    <row r="277" customFormat="false" ht="15" hidden="false" customHeight="false" outlineLevel="0" collapsed="false">
      <c r="A277" s="18"/>
      <c r="C277" s="19"/>
      <c r="G277" s="20"/>
    </row>
    <row r="278" customFormat="false" ht="15" hidden="false" customHeight="false" outlineLevel="0" collapsed="false">
      <c r="A278" s="18"/>
      <c r="C278" s="19"/>
      <c r="G278" s="20"/>
    </row>
    <row r="279" customFormat="false" ht="15" hidden="false" customHeight="false" outlineLevel="0" collapsed="false">
      <c r="A279" s="18"/>
      <c r="C279" s="19"/>
      <c r="G279" s="20"/>
    </row>
    <row r="280" customFormat="false" ht="15" hidden="false" customHeight="false" outlineLevel="0" collapsed="false">
      <c r="A280" s="18"/>
      <c r="C280" s="19"/>
      <c r="G280" s="20"/>
    </row>
    <row r="281" customFormat="false" ht="15" hidden="false" customHeight="false" outlineLevel="0" collapsed="false">
      <c r="A281" s="18"/>
      <c r="C281" s="19"/>
      <c r="G281" s="20"/>
    </row>
    <row r="282" customFormat="false" ht="15" hidden="false" customHeight="false" outlineLevel="0" collapsed="false">
      <c r="A282" s="18"/>
      <c r="C282" s="19"/>
      <c r="G282" s="20"/>
    </row>
    <row r="283" customFormat="false" ht="15" hidden="false" customHeight="false" outlineLevel="0" collapsed="false">
      <c r="A283" s="18"/>
      <c r="C283" s="19"/>
      <c r="G283" s="20"/>
    </row>
    <row r="284" customFormat="false" ht="15" hidden="false" customHeight="false" outlineLevel="0" collapsed="false">
      <c r="A284" s="18"/>
      <c r="C284" s="19"/>
      <c r="G284" s="20"/>
    </row>
    <row r="285" customFormat="false" ht="15" hidden="false" customHeight="false" outlineLevel="0" collapsed="false">
      <c r="A285" s="18"/>
      <c r="C285" s="19"/>
      <c r="G285" s="20"/>
    </row>
    <row r="286" customFormat="false" ht="15" hidden="false" customHeight="false" outlineLevel="0" collapsed="false">
      <c r="A286" s="18"/>
      <c r="C286" s="19"/>
      <c r="G286" s="20"/>
    </row>
    <row r="287" customFormat="false" ht="15" hidden="false" customHeight="false" outlineLevel="0" collapsed="false">
      <c r="A287" s="18"/>
      <c r="C287" s="19"/>
      <c r="G287" s="20"/>
    </row>
    <row r="288" customFormat="false" ht="15" hidden="false" customHeight="false" outlineLevel="0" collapsed="false">
      <c r="A288" s="18"/>
      <c r="C288" s="19"/>
      <c r="G288" s="20"/>
    </row>
    <row r="289" customFormat="false" ht="15" hidden="false" customHeight="false" outlineLevel="0" collapsed="false">
      <c r="A289" s="18"/>
      <c r="C289" s="19"/>
      <c r="G289" s="20"/>
    </row>
    <row r="290" customFormat="false" ht="15" hidden="false" customHeight="false" outlineLevel="0" collapsed="false">
      <c r="A290" s="18"/>
      <c r="C290" s="19"/>
      <c r="G290" s="20"/>
    </row>
    <row r="291" customFormat="false" ht="15" hidden="false" customHeight="false" outlineLevel="0" collapsed="false">
      <c r="A291" s="18"/>
      <c r="C291" s="19"/>
      <c r="G291" s="20"/>
    </row>
    <row r="292" customFormat="false" ht="15" hidden="false" customHeight="false" outlineLevel="0" collapsed="false">
      <c r="A292" s="18"/>
      <c r="C292" s="19"/>
      <c r="G292" s="20"/>
    </row>
    <row r="293" customFormat="false" ht="15" hidden="false" customHeight="false" outlineLevel="0" collapsed="false">
      <c r="A293" s="18"/>
      <c r="C293" s="19"/>
      <c r="G293" s="20"/>
    </row>
    <row r="294" customFormat="false" ht="15" hidden="false" customHeight="false" outlineLevel="0" collapsed="false">
      <c r="A294" s="18"/>
      <c r="C294" s="19"/>
      <c r="G294" s="20"/>
    </row>
    <row r="295" customFormat="false" ht="15" hidden="false" customHeight="false" outlineLevel="0" collapsed="false">
      <c r="A295" s="18"/>
      <c r="C295" s="19"/>
      <c r="G295" s="20"/>
    </row>
    <row r="296" customFormat="false" ht="15" hidden="false" customHeight="false" outlineLevel="0" collapsed="false">
      <c r="A296" s="18"/>
      <c r="C296" s="19"/>
      <c r="G296" s="20"/>
    </row>
    <row r="297" customFormat="false" ht="15" hidden="false" customHeight="false" outlineLevel="0" collapsed="false">
      <c r="A297" s="18"/>
      <c r="C297" s="19"/>
      <c r="G297" s="20"/>
    </row>
    <row r="298" customFormat="false" ht="15" hidden="false" customHeight="false" outlineLevel="0" collapsed="false">
      <c r="A298" s="18"/>
      <c r="C298" s="19"/>
      <c r="G298" s="20"/>
    </row>
    <row r="299" customFormat="false" ht="15" hidden="false" customHeight="false" outlineLevel="0" collapsed="false">
      <c r="A299" s="18"/>
      <c r="C299" s="19"/>
      <c r="G299" s="20"/>
    </row>
    <row r="300" customFormat="false" ht="15" hidden="false" customHeight="false" outlineLevel="0" collapsed="false">
      <c r="A300" s="18"/>
      <c r="C300" s="19"/>
      <c r="G300" s="20"/>
    </row>
    <row r="301" customFormat="false" ht="15" hidden="false" customHeight="false" outlineLevel="0" collapsed="false">
      <c r="A301" s="18"/>
      <c r="C301" s="19"/>
      <c r="G301" s="20"/>
    </row>
    <row r="302" customFormat="false" ht="15" hidden="false" customHeight="false" outlineLevel="0" collapsed="false">
      <c r="A302" s="18"/>
      <c r="C302" s="19"/>
      <c r="G302" s="20"/>
    </row>
    <row r="303" customFormat="false" ht="15" hidden="false" customHeight="false" outlineLevel="0" collapsed="false">
      <c r="A303" s="18"/>
      <c r="C303" s="19"/>
      <c r="G303" s="20"/>
    </row>
    <row r="304" customFormat="false" ht="15" hidden="false" customHeight="false" outlineLevel="0" collapsed="false">
      <c r="A304" s="18"/>
      <c r="C304" s="19"/>
      <c r="G304" s="20"/>
    </row>
    <row r="305" customFormat="false" ht="15" hidden="false" customHeight="false" outlineLevel="0" collapsed="false">
      <c r="A305" s="18"/>
      <c r="C305" s="19"/>
      <c r="G305" s="20"/>
    </row>
    <row r="306" customFormat="false" ht="15" hidden="false" customHeight="false" outlineLevel="0" collapsed="false">
      <c r="A306" s="18"/>
      <c r="C306" s="19"/>
      <c r="G306" s="20"/>
    </row>
    <row r="307" customFormat="false" ht="15" hidden="false" customHeight="false" outlineLevel="0" collapsed="false">
      <c r="A307" s="18"/>
      <c r="C307" s="19"/>
      <c r="G307" s="20"/>
    </row>
    <row r="308" customFormat="false" ht="15" hidden="false" customHeight="false" outlineLevel="0" collapsed="false">
      <c r="A308" s="18"/>
      <c r="C308" s="19"/>
      <c r="G308" s="20"/>
    </row>
    <row r="309" customFormat="false" ht="15" hidden="false" customHeight="false" outlineLevel="0" collapsed="false">
      <c r="A309" s="18"/>
      <c r="C309" s="19"/>
      <c r="G309" s="20"/>
    </row>
    <row r="310" customFormat="false" ht="15" hidden="false" customHeight="false" outlineLevel="0" collapsed="false">
      <c r="A310" s="18"/>
      <c r="C310" s="19"/>
      <c r="G310" s="20"/>
    </row>
    <row r="311" customFormat="false" ht="15" hidden="false" customHeight="false" outlineLevel="0" collapsed="false">
      <c r="A311" s="18"/>
      <c r="C311" s="19"/>
      <c r="G311" s="20"/>
    </row>
    <row r="312" customFormat="false" ht="15" hidden="false" customHeight="false" outlineLevel="0" collapsed="false">
      <c r="A312" s="18"/>
      <c r="C312" s="19"/>
      <c r="G312" s="20"/>
    </row>
    <row r="313" customFormat="false" ht="15" hidden="false" customHeight="false" outlineLevel="0" collapsed="false">
      <c r="A313" s="18"/>
      <c r="C313" s="19"/>
      <c r="G313" s="20"/>
    </row>
    <row r="314" customFormat="false" ht="15" hidden="false" customHeight="false" outlineLevel="0" collapsed="false">
      <c r="A314" s="18"/>
      <c r="C314" s="19"/>
      <c r="G314" s="20"/>
    </row>
    <row r="315" customFormat="false" ht="15" hidden="false" customHeight="false" outlineLevel="0" collapsed="false">
      <c r="A315" s="18"/>
      <c r="C315" s="19"/>
      <c r="G315" s="20"/>
    </row>
    <row r="316" customFormat="false" ht="15" hidden="false" customHeight="false" outlineLevel="0" collapsed="false">
      <c r="A316" s="18"/>
      <c r="C316" s="19"/>
      <c r="G316" s="20"/>
    </row>
    <row r="317" customFormat="false" ht="15" hidden="false" customHeight="false" outlineLevel="0" collapsed="false">
      <c r="A317" s="18"/>
      <c r="C317" s="19"/>
      <c r="G317" s="20"/>
    </row>
    <row r="318" customFormat="false" ht="15" hidden="false" customHeight="false" outlineLevel="0" collapsed="false">
      <c r="A318" s="18"/>
      <c r="C318" s="19"/>
      <c r="G318" s="20"/>
    </row>
    <row r="319" customFormat="false" ht="15" hidden="false" customHeight="false" outlineLevel="0" collapsed="false">
      <c r="A319" s="18"/>
      <c r="C319" s="19"/>
      <c r="G319" s="20"/>
    </row>
    <row r="320" customFormat="false" ht="15" hidden="false" customHeight="false" outlineLevel="0" collapsed="false">
      <c r="A320" s="18"/>
      <c r="C320" s="19"/>
      <c r="G320" s="20"/>
    </row>
    <row r="321" customFormat="false" ht="15" hidden="false" customHeight="false" outlineLevel="0" collapsed="false">
      <c r="A321" s="18"/>
      <c r="C321" s="19"/>
      <c r="G321" s="20"/>
    </row>
    <row r="322" customFormat="false" ht="15" hidden="false" customHeight="false" outlineLevel="0" collapsed="false">
      <c r="A322" s="18"/>
      <c r="C322" s="19"/>
      <c r="G322" s="20"/>
    </row>
    <row r="323" customFormat="false" ht="15" hidden="false" customHeight="false" outlineLevel="0" collapsed="false">
      <c r="A323" s="18"/>
      <c r="C323" s="19"/>
      <c r="G323" s="20"/>
    </row>
    <row r="324" customFormat="false" ht="15" hidden="false" customHeight="false" outlineLevel="0" collapsed="false">
      <c r="A324" s="18"/>
      <c r="C324" s="19"/>
      <c r="G324" s="20"/>
    </row>
    <row r="325" customFormat="false" ht="15" hidden="false" customHeight="false" outlineLevel="0" collapsed="false">
      <c r="A325" s="18"/>
      <c r="C325" s="19"/>
      <c r="G325" s="20"/>
    </row>
    <row r="326" customFormat="false" ht="15" hidden="false" customHeight="false" outlineLevel="0" collapsed="false">
      <c r="A326" s="18"/>
      <c r="C326" s="19"/>
      <c r="G326" s="20"/>
    </row>
    <row r="327" customFormat="false" ht="15" hidden="false" customHeight="false" outlineLevel="0" collapsed="false">
      <c r="A327" s="18"/>
      <c r="C327" s="19"/>
      <c r="G327" s="20"/>
    </row>
    <row r="328" customFormat="false" ht="15" hidden="false" customHeight="false" outlineLevel="0" collapsed="false">
      <c r="A328" s="18"/>
      <c r="C328" s="19"/>
      <c r="G328" s="20"/>
    </row>
    <row r="329" customFormat="false" ht="15" hidden="false" customHeight="false" outlineLevel="0" collapsed="false">
      <c r="A329" s="18"/>
      <c r="C329" s="19"/>
      <c r="G329" s="20"/>
    </row>
    <row r="330" customFormat="false" ht="15" hidden="false" customHeight="false" outlineLevel="0" collapsed="false">
      <c r="A330" s="18"/>
      <c r="C330" s="19"/>
      <c r="G330" s="20"/>
    </row>
    <row r="331" customFormat="false" ht="15" hidden="false" customHeight="false" outlineLevel="0" collapsed="false">
      <c r="A331" s="18"/>
      <c r="C331" s="19"/>
      <c r="G331" s="20"/>
    </row>
    <row r="332" customFormat="false" ht="15" hidden="false" customHeight="false" outlineLevel="0" collapsed="false">
      <c r="A332" s="18"/>
      <c r="C332" s="19"/>
      <c r="G332" s="20"/>
    </row>
    <row r="333" customFormat="false" ht="15" hidden="false" customHeight="false" outlineLevel="0" collapsed="false">
      <c r="A333" s="18"/>
      <c r="C333" s="19"/>
      <c r="G333" s="20"/>
    </row>
    <row r="334" customFormat="false" ht="15" hidden="false" customHeight="false" outlineLevel="0" collapsed="false">
      <c r="A334" s="18"/>
      <c r="C334" s="19"/>
      <c r="G334" s="20"/>
    </row>
    <row r="335" customFormat="false" ht="15" hidden="false" customHeight="false" outlineLevel="0" collapsed="false">
      <c r="A335" s="18"/>
      <c r="C335" s="19"/>
      <c r="G335" s="20"/>
    </row>
    <row r="336" customFormat="false" ht="15" hidden="false" customHeight="false" outlineLevel="0" collapsed="false">
      <c r="A336" s="18"/>
      <c r="C336" s="19"/>
      <c r="G336" s="20"/>
    </row>
    <row r="337" customFormat="false" ht="15" hidden="false" customHeight="false" outlineLevel="0" collapsed="false">
      <c r="A337" s="18"/>
      <c r="C337" s="19"/>
      <c r="G337" s="20"/>
    </row>
    <row r="338" customFormat="false" ht="15" hidden="false" customHeight="false" outlineLevel="0" collapsed="false">
      <c r="A338" s="18"/>
      <c r="C338" s="19"/>
      <c r="G338" s="20"/>
    </row>
    <row r="339" customFormat="false" ht="15" hidden="false" customHeight="false" outlineLevel="0" collapsed="false">
      <c r="A339" s="18"/>
      <c r="C339" s="19"/>
      <c r="G339" s="20"/>
    </row>
    <row r="340" customFormat="false" ht="15" hidden="false" customHeight="false" outlineLevel="0" collapsed="false">
      <c r="A340" s="18"/>
      <c r="C340" s="19"/>
      <c r="G340" s="20"/>
    </row>
    <row r="341" customFormat="false" ht="15" hidden="false" customHeight="false" outlineLevel="0" collapsed="false">
      <c r="A341" s="18"/>
      <c r="C341" s="19"/>
      <c r="G341" s="20"/>
    </row>
    <row r="342" customFormat="false" ht="15" hidden="false" customHeight="false" outlineLevel="0" collapsed="false">
      <c r="A342" s="18"/>
      <c r="C342" s="19"/>
      <c r="G342" s="20"/>
    </row>
    <row r="343" customFormat="false" ht="15" hidden="false" customHeight="false" outlineLevel="0" collapsed="false">
      <c r="A343" s="18"/>
      <c r="C343" s="19"/>
      <c r="G343" s="20"/>
    </row>
    <row r="344" customFormat="false" ht="15" hidden="false" customHeight="false" outlineLevel="0" collapsed="false">
      <c r="A344" s="18"/>
      <c r="C344" s="19"/>
      <c r="G344" s="20"/>
    </row>
    <row r="345" customFormat="false" ht="15" hidden="false" customHeight="false" outlineLevel="0" collapsed="false">
      <c r="A345" s="18"/>
      <c r="C345" s="19"/>
      <c r="G345" s="20"/>
    </row>
    <row r="346" customFormat="false" ht="15" hidden="false" customHeight="false" outlineLevel="0" collapsed="false">
      <c r="A346" s="18"/>
      <c r="C346" s="19"/>
      <c r="G346" s="20"/>
    </row>
    <row r="347" customFormat="false" ht="15" hidden="false" customHeight="false" outlineLevel="0" collapsed="false">
      <c r="A347" s="18"/>
      <c r="C347" s="19"/>
      <c r="G347" s="20"/>
    </row>
    <row r="348" customFormat="false" ht="15" hidden="false" customHeight="false" outlineLevel="0" collapsed="false">
      <c r="A348" s="18"/>
      <c r="C348" s="19"/>
      <c r="G348" s="20"/>
    </row>
    <row r="349" customFormat="false" ht="15" hidden="false" customHeight="false" outlineLevel="0" collapsed="false">
      <c r="A349" s="18"/>
      <c r="C349" s="19"/>
      <c r="G349" s="20"/>
    </row>
    <row r="350" customFormat="false" ht="15" hidden="false" customHeight="false" outlineLevel="0" collapsed="false">
      <c r="A350" s="18"/>
      <c r="C350" s="19"/>
      <c r="G350" s="20"/>
    </row>
    <row r="351" customFormat="false" ht="15" hidden="false" customHeight="false" outlineLevel="0" collapsed="false">
      <c r="A351" s="18"/>
      <c r="C351" s="19"/>
      <c r="G351" s="20"/>
    </row>
    <row r="352" customFormat="false" ht="15" hidden="false" customHeight="false" outlineLevel="0" collapsed="false">
      <c r="A352" s="18"/>
      <c r="C352" s="19"/>
      <c r="G352" s="20"/>
    </row>
    <row r="353" customFormat="false" ht="15" hidden="false" customHeight="false" outlineLevel="0" collapsed="false">
      <c r="A353" s="18"/>
      <c r="C353" s="19"/>
      <c r="G353" s="20"/>
    </row>
    <row r="354" customFormat="false" ht="15" hidden="false" customHeight="false" outlineLevel="0" collapsed="false">
      <c r="A354" s="18"/>
      <c r="C354" s="19"/>
      <c r="G354" s="20"/>
    </row>
    <row r="355" customFormat="false" ht="15" hidden="false" customHeight="false" outlineLevel="0" collapsed="false">
      <c r="A355" s="18"/>
      <c r="C355" s="19"/>
      <c r="G355" s="20"/>
    </row>
    <row r="356" customFormat="false" ht="15" hidden="false" customHeight="false" outlineLevel="0" collapsed="false">
      <c r="A356" s="18"/>
      <c r="C356" s="19"/>
      <c r="G356" s="20"/>
    </row>
    <row r="357" customFormat="false" ht="15" hidden="false" customHeight="false" outlineLevel="0" collapsed="false">
      <c r="A357" s="18"/>
      <c r="C357" s="19"/>
      <c r="G357" s="20"/>
    </row>
    <row r="358" customFormat="false" ht="15" hidden="false" customHeight="false" outlineLevel="0" collapsed="false">
      <c r="A358" s="18"/>
      <c r="C358" s="19"/>
      <c r="G358" s="20"/>
    </row>
    <row r="359" customFormat="false" ht="15" hidden="false" customHeight="false" outlineLevel="0" collapsed="false">
      <c r="A359" s="18"/>
      <c r="C359" s="19"/>
      <c r="G359" s="20"/>
    </row>
    <row r="360" customFormat="false" ht="15" hidden="false" customHeight="false" outlineLevel="0" collapsed="false">
      <c r="A360" s="18"/>
      <c r="C360" s="19"/>
      <c r="G360" s="20"/>
    </row>
    <row r="361" customFormat="false" ht="15" hidden="false" customHeight="false" outlineLevel="0" collapsed="false">
      <c r="A361" s="18"/>
      <c r="C361" s="19"/>
      <c r="G361" s="20"/>
    </row>
    <row r="362" customFormat="false" ht="15" hidden="false" customHeight="false" outlineLevel="0" collapsed="false">
      <c r="A362" s="18"/>
      <c r="C362" s="19"/>
      <c r="G362" s="20"/>
    </row>
    <row r="363" customFormat="false" ht="15" hidden="false" customHeight="false" outlineLevel="0" collapsed="false">
      <c r="A363" s="18"/>
      <c r="C363" s="19"/>
      <c r="G363" s="20"/>
    </row>
    <row r="364" customFormat="false" ht="15" hidden="false" customHeight="false" outlineLevel="0" collapsed="false">
      <c r="A364" s="18"/>
      <c r="C364" s="19"/>
      <c r="G364" s="20"/>
    </row>
    <row r="365" customFormat="false" ht="15" hidden="false" customHeight="false" outlineLevel="0" collapsed="false">
      <c r="A365" s="18"/>
      <c r="C365" s="19"/>
      <c r="G365" s="20"/>
    </row>
    <row r="366" customFormat="false" ht="15" hidden="false" customHeight="false" outlineLevel="0" collapsed="false">
      <c r="A366" s="18"/>
      <c r="C366" s="19"/>
      <c r="G366" s="20"/>
    </row>
    <row r="367" customFormat="false" ht="15" hidden="false" customHeight="false" outlineLevel="0" collapsed="false">
      <c r="A367" s="18"/>
      <c r="C367" s="19"/>
      <c r="G367" s="20"/>
    </row>
    <row r="368" customFormat="false" ht="15" hidden="false" customHeight="false" outlineLevel="0" collapsed="false">
      <c r="A368" s="18"/>
      <c r="C368" s="19"/>
      <c r="G368" s="20"/>
    </row>
    <row r="369" customFormat="false" ht="15" hidden="false" customHeight="false" outlineLevel="0" collapsed="false">
      <c r="A369" s="18"/>
      <c r="C369" s="19"/>
      <c r="G369" s="20"/>
    </row>
    <row r="370" customFormat="false" ht="15" hidden="false" customHeight="false" outlineLevel="0" collapsed="false">
      <c r="A370" s="18"/>
      <c r="C370" s="19"/>
      <c r="G370" s="20"/>
    </row>
    <row r="371" customFormat="false" ht="15" hidden="false" customHeight="false" outlineLevel="0" collapsed="false">
      <c r="A371" s="18"/>
      <c r="C371" s="19"/>
      <c r="G371" s="20"/>
    </row>
    <row r="372" customFormat="false" ht="15" hidden="false" customHeight="false" outlineLevel="0" collapsed="false">
      <c r="A372" s="18"/>
      <c r="C372" s="19"/>
      <c r="G372" s="20"/>
    </row>
    <row r="373" customFormat="false" ht="15" hidden="false" customHeight="false" outlineLevel="0" collapsed="false">
      <c r="A373" s="18"/>
      <c r="C373" s="19"/>
      <c r="G373" s="20"/>
    </row>
    <row r="374" customFormat="false" ht="15" hidden="false" customHeight="false" outlineLevel="0" collapsed="false">
      <c r="A374" s="18"/>
      <c r="C374" s="19"/>
      <c r="G374" s="20"/>
    </row>
    <row r="375" customFormat="false" ht="15" hidden="false" customHeight="false" outlineLevel="0" collapsed="false">
      <c r="A375" s="18"/>
      <c r="C375" s="19"/>
      <c r="G375" s="20"/>
    </row>
    <row r="376" customFormat="false" ht="15" hidden="false" customHeight="false" outlineLevel="0" collapsed="false">
      <c r="A376" s="18"/>
      <c r="C376" s="19"/>
      <c r="G376" s="20"/>
    </row>
    <row r="377" customFormat="false" ht="15" hidden="false" customHeight="false" outlineLevel="0" collapsed="false">
      <c r="A377" s="18"/>
      <c r="C377" s="19"/>
      <c r="G377" s="20"/>
    </row>
    <row r="378" customFormat="false" ht="15" hidden="false" customHeight="false" outlineLevel="0" collapsed="false">
      <c r="A378" s="18"/>
      <c r="C378" s="19"/>
      <c r="G378" s="20"/>
    </row>
    <row r="379" customFormat="false" ht="15" hidden="false" customHeight="false" outlineLevel="0" collapsed="false">
      <c r="A379" s="18"/>
      <c r="C379" s="19"/>
      <c r="G379" s="20"/>
    </row>
    <row r="380" customFormat="false" ht="15" hidden="false" customHeight="false" outlineLevel="0" collapsed="false">
      <c r="A380" s="18"/>
      <c r="C380" s="19"/>
      <c r="G380" s="20"/>
    </row>
    <row r="381" customFormat="false" ht="15" hidden="false" customHeight="false" outlineLevel="0" collapsed="false">
      <c r="A381" s="18"/>
      <c r="C381" s="19"/>
      <c r="G381" s="20"/>
    </row>
    <row r="382" customFormat="false" ht="15" hidden="false" customHeight="false" outlineLevel="0" collapsed="false">
      <c r="A382" s="18"/>
      <c r="C382" s="19"/>
      <c r="G382" s="20"/>
    </row>
    <row r="383" customFormat="false" ht="15" hidden="false" customHeight="false" outlineLevel="0" collapsed="false">
      <c r="A383" s="18"/>
      <c r="C383" s="19"/>
      <c r="G383" s="20"/>
    </row>
    <row r="384" customFormat="false" ht="15" hidden="false" customHeight="false" outlineLevel="0" collapsed="false">
      <c r="A384" s="18"/>
      <c r="C384" s="19"/>
      <c r="G384" s="20"/>
    </row>
    <row r="385" customFormat="false" ht="15" hidden="false" customHeight="false" outlineLevel="0" collapsed="false">
      <c r="A385" s="18"/>
      <c r="C385" s="19"/>
      <c r="G385" s="20"/>
    </row>
    <row r="386" customFormat="false" ht="15" hidden="false" customHeight="false" outlineLevel="0" collapsed="false">
      <c r="A386" s="18"/>
      <c r="C386" s="19"/>
      <c r="G386" s="20"/>
    </row>
    <row r="387" customFormat="false" ht="15" hidden="false" customHeight="false" outlineLevel="0" collapsed="false">
      <c r="A387" s="18"/>
      <c r="C387" s="19"/>
      <c r="G387" s="20"/>
    </row>
    <row r="388" customFormat="false" ht="15" hidden="false" customHeight="false" outlineLevel="0" collapsed="false">
      <c r="A388" s="18"/>
      <c r="C388" s="19"/>
      <c r="G388" s="20"/>
    </row>
    <row r="389" customFormat="false" ht="15" hidden="false" customHeight="false" outlineLevel="0" collapsed="false">
      <c r="A389" s="18"/>
      <c r="C389" s="19"/>
      <c r="G389" s="20"/>
    </row>
    <row r="390" customFormat="false" ht="15" hidden="false" customHeight="false" outlineLevel="0" collapsed="false">
      <c r="A390" s="18"/>
      <c r="C390" s="19"/>
      <c r="G390" s="20"/>
    </row>
    <row r="391" customFormat="false" ht="15" hidden="false" customHeight="false" outlineLevel="0" collapsed="false">
      <c r="A391" s="18"/>
      <c r="C391" s="19"/>
      <c r="G391" s="20"/>
    </row>
    <row r="392" customFormat="false" ht="15" hidden="false" customHeight="false" outlineLevel="0" collapsed="false">
      <c r="A392" s="18"/>
      <c r="C392" s="19"/>
      <c r="G392" s="20"/>
    </row>
    <row r="393" customFormat="false" ht="15" hidden="false" customHeight="false" outlineLevel="0" collapsed="false">
      <c r="A393" s="18"/>
      <c r="C393" s="19"/>
      <c r="G393" s="20"/>
    </row>
    <row r="394" customFormat="false" ht="15" hidden="false" customHeight="false" outlineLevel="0" collapsed="false">
      <c r="A394" s="18"/>
      <c r="C394" s="19"/>
      <c r="G394" s="20"/>
    </row>
    <row r="395" customFormat="false" ht="15" hidden="false" customHeight="false" outlineLevel="0" collapsed="false">
      <c r="A395" s="18"/>
      <c r="C395" s="19"/>
      <c r="G395" s="20"/>
    </row>
    <row r="396" customFormat="false" ht="15" hidden="false" customHeight="false" outlineLevel="0" collapsed="false">
      <c r="A396" s="18"/>
      <c r="C396" s="19"/>
      <c r="G396" s="20"/>
    </row>
    <row r="397" customFormat="false" ht="15" hidden="false" customHeight="false" outlineLevel="0" collapsed="false">
      <c r="A397" s="18"/>
      <c r="C397" s="19"/>
      <c r="G397" s="20"/>
    </row>
    <row r="398" customFormat="false" ht="15" hidden="false" customHeight="false" outlineLevel="0" collapsed="false">
      <c r="A398" s="18"/>
      <c r="C398" s="19"/>
      <c r="G398" s="20"/>
    </row>
    <row r="399" customFormat="false" ht="15" hidden="false" customHeight="false" outlineLevel="0" collapsed="false">
      <c r="A399" s="18"/>
      <c r="C399" s="19"/>
      <c r="G399" s="20"/>
    </row>
    <row r="400" customFormat="false" ht="15" hidden="false" customHeight="false" outlineLevel="0" collapsed="false">
      <c r="A400" s="18"/>
      <c r="C400" s="19"/>
      <c r="G400" s="20"/>
    </row>
    <row r="401" customFormat="false" ht="15" hidden="false" customHeight="false" outlineLevel="0" collapsed="false">
      <c r="A401" s="18"/>
      <c r="C401" s="19"/>
      <c r="G401" s="20"/>
    </row>
    <row r="402" customFormat="false" ht="15" hidden="false" customHeight="false" outlineLevel="0" collapsed="false">
      <c r="A402" s="18"/>
      <c r="C402" s="19"/>
      <c r="G402" s="20"/>
    </row>
    <row r="403" customFormat="false" ht="15" hidden="false" customHeight="false" outlineLevel="0" collapsed="false">
      <c r="A403" s="18"/>
      <c r="C403" s="19"/>
      <c r="G403" s="20"/>
    </row>
    <row r="404" customFormat="false" ht="15" hidden="false" customHeight="false" outlineLevel="0" collapsed="false">
      <c r="A404" s="18"/>
      <c r="C404" s="19"/>
      <c r="G404" s="20"/>
    </row>
    <row r="405" customFormat="false" ht="15" hidden="false" customHeight="false" outlineLevel="0" collapsed="false">
      <c r="A405" s="18"/>
      <c r="C405" s="19"/>
      <c r="G405" s="20"/>
    </row>
    <row r="406" customFormat="false" ht="15" hidden="false" customHeight="false" outlineLevel="0" collapsed="false">
      <c r="A406" s="18"/>
      <c r="C406" s="19"/>
      <c r="G406" s="20"/>
    </row>
    <row r="407" customFormat="false" ht="15" hidden="false" customHeight="false" outlineLevel="0" collapsed="false">
      <c r="A407" s="18"/>
      <c r="C407" s="19"/>
      <c r="G407" s="20"/>
    </row>
    <row r="408" customFormat="false" ht="15" hidden="false" customHeight="false" outlineLevel="0" collapsed="false">
      <c r="A408" s="18"/>
      <c r="C408" s="19"/>
      <c r="G408" s="20"/>
    </row>
    <row r="409" customFormat="false" ht="15" hidden="false" customHeight="false" outlineLevel="0" collapsed="false">
      <c r="A409" s="18"/>
      <c r="C409" s="19"/>
      <c r="G409" s="20"/>
    </row>
    <row r="410" customFormat="false" ht="15" hidden="false" customHeight="false" outlineLevel="0" collapsed="false">
      <c r="A410" s="18"/>
      <c r="C410" s="19"/>
      <c r="G410" s="20"/>
    </row>
    <row r="411" customFormat="false" ht="15" hidden="false" customHeight="false" outlineLevel="0" collapsed="false">
      <c r="A411" s="18"/>
      <c r="C411" s="19"/>
      <c r="G411" s="20"/>
    </row>
    <row r="412" customFormat="false" ht="15" hidden="false" customHeight="false" outlineLevel="0" collapsed="false">
      <c r="A412" s="18"/>
      <c r="C412" s="19"/>
      <c r="G412" s="20"/>
    </row>
    <row r="413" customFormat="false" ht="15" hidden="false" customHeight="false" outlineLevel="0" collapsed="false">
      <c r="A413" s="18"/>
      <c r="C413" s="19"/>
      <c r="G413" s="20"/>
    </row>
    <row r="414" customFormat="false" ht="15" hidden="false" customHeight="false" outlineLevel="0" collapsed="false">
      <c r="A414" s="18"/>
      <c r="C414" s="19"/>
      <c r="G414" s="20"/>
    </row>
    <row r="415" customFormat="false" ht="15" hidden="false" customHeight="false" outlineLevel="0" collapsed="false">
      <c r="A415" s="18"/>
      <c r="C415" s="19"/>
      <c r="G415" s="20"/>
    </row>
    <row r="416" customFormat="false" ht="15" hidden="false" customHeight="false" outlineLevel="0" collapsed="false">
      <c r="A416" s="18"/>
      <c r="C416" s="19"/>
      <c r="G416" s="20"/>
    </row>
    <row r="417" customFormat="false" ht="15" hidden="false" customHeight="false" outlineLevel="0" collapsed="false">
      <c r="A417" s="18"/>
      <c r="C417" s="19"/>
      <c r="G417" s="20"/>
    </row>
    <row r="418" customFormat="false" ht="15" hidden="false" customHeight="false" outlineLevel="0" collapsed="false">
      <c r="A418" s="18"/>
      <c r="C418" s="19"/>
      <c r="G418" s="20"/>
    </row>
    <row r="419" customFormat="false" ht="15" hidden="false" customHeight="false" outlineLevel="0" collapsed="false">
      <c r="A419" s="18"/>
      <c r="C419" s="19"/>
      <c r="G419" s="20"/>
    </row>
    <row r="420" customFormat="false" ht="15" hidden="false" customHeight="false" outlineLevel="0" collapsed="false">
      <c r="A420" s="18"/>
      <c r="C420" s="19"/>
      <c r="G420" s="20"/>
    </row>
    <row r="421" customFormat="false" ht="15" hidden="false" customHeight="false" outlineLevel="0" collapsed="false">
      <c r="A421" s="18"/>
      <c r="C421" s="19"/>
      <c r="G421" s="20"/>
    </row>
    <row r="422" customFormat="false" ht="15" hidden="false" customHeight="false" outlineLevel="0" collapsed="false">
      <c r="A422" s="18"/>
      <c r="C422" s="19"/>
      <c r="G422" s="20"/>
    </row>
    <row r="423" customFormat="false" ht="15" hidden="false" customHeight="false" outlineLevel="0" collapsed="false">
      <c r="A423" s="18"/>
      <c r="C423" s="19"/>
      <c r="G423" s="20"/>
    </row>
    <row r="424" customFormat="false" ht="15" hidden="false" customHeight="false" outlineLevel="0" collapsed="false">
      <c r="A424" s="18"/>
      <c r="C424" s="19"/>
      <c r="G424" s="20"/>
    </row>
    <row r="425" customFormat="false" ht="15" hidden="false" customHeight="false" outlineLevel="0" collapsed="false">
      <c r="A425" s="18"/>
      <c r="C425" s="19"/>
      <c r="G425" s="20"/>
    </row>
    <row r="426" customFormat="false" ht="15" hidden="false" customHeight="false" outlineLevel="0" collapsed="false">
      <c r="A426" s="18"/>
      <c r="C426" s="19"/>
      <c r="G426" s="20"/>
    </row>
    <row r="427" customFormat="false" ht="15" hidden="false" customHeight="false" outlineLevel="0" collapsed="false">
      <c r="A427" s="18"/>
      <c r="C427" s="19"/>
      <c r="G427" s="20"/>
    </row>
    <row r="428" customFormat="false" ht="15" hidden="false" customHeight="false" outlineLevel="0" collapsed="false">
      <c r="A428" s="18"/>
      <c r="C428" s="19"/>
      <c r="G428" s="20"/>
    </row>
    <row r="429" customFormat="false" ht="15" hidden="false" customHeight="false" outlineLevel="0" collapsed="false">
      <c r="A429" s="18"/>
      <c r="C429" s="19"/>
      <c r="G429" s="20"/>
    </row>
    <row r="430" customFormat="false" ht="15" hidden="false" customHeight="false" outlineLevel="0" collapsed="false">
      <c r="A430" s="18"/>
      <c r="C430" s="19"/>
      <c r="G430" s="20"/>
    </row>
    <row r="431" customFormat="false" ht="15" hidden="false" customHeight="false" outlineLevel="0" collapsed="false">
      <c r="A431" s="18"/>
      <c r="C431" s="19"/>
      <c r="G431" s="20"/>
    </row>
    <row r="432" customFormat="false" ht="15" hidden="false" customHeight="false" outlineLevel="0" collapsed="false">
      <c r="A432" s="18"/>
      <c r="C432" s="19"/>
      <c r="G432" s="20"/>
    </row>
    <row r="433" customFormat="false" ht="15" hidden="false" customHeight="false" outlineLevel="0" collapsed="false">
      <c r="A433" s="18"/>
      <c r="C433" s="19"/>
      <c r="G433" s="20"/>
    </row>
    <row r="434" customFormat="false" ht="15" hidden="false" customHeight="false" outlineLevel="0" collapsed="false">
      <c r="A434" s="18"/>
      <c r="C434" s="19"/>
      <c r="G434" s="20"/>
    </row>
    <row r="435" customFormat="false" ht="15" hidden="false" customHeight="false" outlineLevel="0" collapsed="false">
      <c r="A435" s="18"/>
      <c r="C435" s="19"/>
      <c r="G435" s="20"/>
    </row>
    <row r="436" customFormat="false" ht="15" hidden="false" customHeight="false" outlineLevel="0" collapsed="false">
      <c r="A436" s="18"/>
      <c r="C436" s="19"/>
      <c r="G436" s="20"/>
    </row>
    <row r="437" customFormat="false" ht="15" hidden="false" customHeight="false" outlineLevel="0" collapsed="false">
      <c r="A437" s="18"/>
      <c r="C437" s="19"/>
      <c r="G437" s="20"/>
    </row>
    <row r="438" customFormat="false" ht="15" hidden="false" customHeight="false" outlineLevel="0" collapsed="false">
      <c r="A438" s="18"/>
      <c r="C438" s="19"/>
      <c r="G438" s="20"/>
    </row>
    <row r="439" customFormat="false" ht="15" hidden="false" customHeight="false" outlineLevel="0" collapsed="false">
      <c r="A439" s="18"/>
      <c r="C439" s="19"/>
      <c r="G439" s="20"/>
    </row>
    <row r="440" customFormat="false" ht="15" hidden="false" customHeight="false" outlineLevel="0" collapsed="false">
      <c r="A440" s="18"/>
      <c r="C440" s="19"/>
      <c r="G440" s="20"/>
    </row>
    <row r="441" customFormat="false" ht="15" hidden="false" customHeight="false" outlineLevel="0" collapsed="false">
      <c r="A441" s="18"/>
      <c r="C441" s="19"/>
      <c r="G441" s="20"/>
    </row>
    <row r="442" customFormat="false" ht="15" hidden="false" customHeight="false" outlineLevel="0" collapsed="false">
      <c r="A442" s="18"/>
      <c r="C442" s="19"/>
      <c r="G442" s="20"/>
    </row>
    <row r="443" customFormat="false" ht="15" hidden="false" customHeight="false" outlineLevel="0" collapsed="false">
      <c r="A443" s="18"/>
      <c r="C443" s="19"/>
      <c r="G443" s="20"/>
    </row>
    <row r="444" customFormat="false" ht="15" hidden="false" customHeight="false" outlineLevel="0" collapsed="false">
      <c r="A444" s="18"/>
      <c r="C444" s="19"/>
      <c r="G444" s="20"/>
    </row>
    <row r="445" customFormat="false" ht="15" hidden="false" customHeight="false" outlineLevel="0" collapsed="false">
      <c r="A445" s="18"/>
      <c r="C445" s="19"/>
      <c r="G445" s="20"/>
    </row>
    <row r="446" customFormat="false" ht="15" hidden="false" customHeight="false" outlineLevel="0" collapsed="false">
      <c r="A446" s="18"/>
      <c r="C446" s="19"/>
      <c r="G446" s="20"/>
    </row>
    <row r="447" customFormat="false" ht="15" hidden="false" customHeight="false" outlineLevel="0" collapsed="false">
      <c r="A447" s="18"/>
      <c r="C447" s="19"/>
      <c r="G447" s="20"/>
    </row>
    <row r="448" customFormat="false" ht="15" hidden="false" customHeight="false" outlineLevel="0" collapsed="false">
      <c r="A448" s="18"/>
      <c r="C448" s="19"/>
      <c r="G448" s="20"/>
    </row>
    <row r="449" customFormat="false" ht="15" hidden="false" customHeight="false" outlineLevel="0" collapsed="false">
      <c r="A449" s="18"/>
      <c r="C449" s="19"/>
      <c r="G449" s="20"/>
    </row>
    <row r="450" customFormat="false" ht="15" hidden="false" customHeight="false" outlineLevel="0" collapsed="false">
      <c r="A450" s="18"/>
      <c r="C450" s="19"/>
      <c r="G450" s="20"/>
    </row>
    <row r="451" customFormat="false" ht="15" hidden="false" customHeight="false" outlineLevel="0" collapsed="false">
      <c r="A451" s="18"/>
      <c r="C451" s="19"/>
      <c r="G451" s="20"/>
    </row>
    <row r="452" customFormat="false" ht="15" hidden="false" customHeight="false" outlineLevel="0" collapsed="false">
      <c r="A452" s="18"/>
      <c r="C452" s="19"/>
      <c r="G452" s="20"/>
    </row>
    <row r="453" customFormat="false" ht="15" hidden="false" customHeight="false" outlineLevel="0" collapsed="false">
      <c r="A453" s="18"/>
      <c r="C453" s="19"/>
      <c r="G453" s="20"/>
    </row>
    <row r="454" customFormat="false" ht="15" hidden="false" customHeight="false" outlineLevel="0" collapsed="false">
      <c r="A454" s="18"/>
      <c r="C454" s="19"/>
      <c r="G454" s="20"/>
    </row>
    <row r="455" customFormat="false" ht="15" hidden="false" customHeight="false" outlineLevel="0" collapsed="false">
      <c r="A455" s="18"/>
      <c r="C455" s="19"/>
      <c r="G455" s="20"/>
    </row>
    <row r="456" customFormat="false" ht="15" hidden="false" customHeight="false" outlineLevel="0" collapsed="false">
      <c r="A456" s="18"/>
      <c r="C456" s="19"/>
      <c r="G456" s="20"/>
    </row>
    <row r="457" customFormat="false" ht="15" hidden="false" customHeight="false" outlineLevel="0" collapsed="false">
      <c r="A457" s="18"/>
      <c r="C457" s="19"/>
      <c r="G457" s="20"/>
    </row>
    <row r="458" customFormat="false" ht="15" hidden="false" customHeight="false" outlineLevel="0" collapsed="false">
      <c r="A458" s="18"/>
      <c r="C458" s="19"/>
      <c r="G458" s="20"/>
    </row>
    <row r="459" customFormat="false" ht="15" hidden="false" customHeight="false" outlineLevel="0" collapsed="false">
      <c r="A459" s="18"/>
      <c r="C459" s="19"/>
      <c r="G459" s="20"/>
    </row>
    <row r="460" customFormat="false" ht="15" hidden="false" customHeight="false" outlineLevel="0" collapsed="false">
      <c r="A460" s="18"/>
      <c r="C460" s="19"/>
      <c r="G460" s="20"/>
    </row>
    <row r="461" customFormat="false" ht="15" hidden="false" customHeight="false" outlineLevel="0" collapsed="false">
      <c r="A461" s="18"/>
      <c r="C461" s="19"/>
      <c r="G461" s="20"/>
    </row>
    <row r="462" customFormat="false" ht="15" hidden="false" customHeight="false" outlineLevel="0" collapsed="false">
      <c r="A462" s="18"/>
      <c r="C462" s="19"/>
      <c r="G462" s="20"/>
    </row>
    <row r="463" customFormat="false" ht="15" hidden="false" customHeight="false" outlineLevel="0" collapsed="false">
      <c r="A463" s="18"/>
      <c r="C463" s="19"/>
      <c r="G463" s="20"/>
    </row>
    <row r="464" customFormat="false" ht="15" hidden="false" customHeight="false" outlineLevel="0" collapsed="false">
      <c r="A464" s="18"/>
      <c r="C464" s="19"/>
      <c r="G464" s="20"/>
    </row>
    <row r="465" customFormat="false" ht="15" hidden="false" customHeight="false" outlineLevel="0" collapsed="false">
      <c r="A465" s="18"/>
      <c r="C465" s="19"/>
      <c r="G465" s="20"/>
    </row>
    <row r="466" customFormat="false" ht="15" hidden="false" customHeight="false" outlineLevel="0" collapsed="false">
      <c r="A466" s="18"/>
      <c r="C466" s="19"/>
      <c r="G466" s="20"/>
    </row>
    <row r="467" customFormat="false" ht="15" hidden="false" customHeight="false" outlineLevel="0" collapsed="false">
      <c r="A467" s="18"/>
      <c r="C467" s="19"/>
      <c r="G467" s="20"/>
    </row>
    <row r="468" customFormat="false" ht="15" hidden="false" customHeight="false" outlineLevel="0" collapsed="false">
      <c r="A468" s="18"/>
      <c r="C468" s="19"/>
      <c r="G468" s="20"/>
    </row>
    <row r="469" customFormat="false" ht="15" hidden="false" customHeight="false" outlineLevel="0" collapsed="false">
      <c r="A469" s="18"/>
      <c r="C469" s="19"/>
      <c r="G469" s="20"/>
    </row>
    <row r="470" customFormat="false" ht="15" hidden="false" customHeight="false" outlineLevel="0" collapsed="false">
      <c r="A470" s="18"/>
      <c r="C470" s="19"/>
      <c r="G470" s="20"/>
    </row>
    <row r="471" customFormat="false" ht="15" hidden="false" customHeight="false" outlineLevel="0" collapsed="false">
      <c r="A471" s="18"/>
      <c r="C471" s="19"/>
      <c r="G471" s="20"/>
    </row>
    <row r="472" customFormat="false" ht="15" hidden="false" customHeight="false" outlineLevel="0" collapsed="false">
      <c r="A472" s="18"/>
      <c r="C472" s="19"/>
      <c r="G472" s="20"/>
    </row>
    <row r="473" customFormat="false" ht="15" hidden="false" customHeight="false" outlineLevel="0" collapsed="false">
      <c r="A473" s="18"/>
      <c r="C473" s="19"/>
      <c r="G473" s="20"/>
    </row>
    <row r="474" customFormat="false" ht="15" hidden="false" customHeight="false" outlineLevel="0" collapsed="false">
      <c r="A474" s="18"/>
      <c r="C474" s="19"/>
      <c r="G474" s="20"/>
    </row>
    <row r="475" customFormat="false" ht="15" hidden="false" customHeight="false" outlineLevel="0" collapsed="false">
      <c r="A475" s="18"/>
      <c r="C475" s="19"/>
      <c r="G475" s="20"/>
    </row>
    <row r="476" customFormat="false" ht="15" hidden="false" customHeight="false" outlineLevel="0" collapsed="false">
      <c r="A476" s="18"/>
      <c r="C476" s="19"/>
      <c r="G476" s="20"/>
    </row>
    <row r="477" customFormat="false" ht="15" hidden="false" customHeight="false" outlineLevel="0" collapsed="false">
      <c r="A477" s="18"/>
      <c r="C477" s="19"/>
      <c r="G477" s="20"/>
    </row>
    <row r="478" customFormat="false" ht="15" hidden="false" customHeight="false" outlineLevel="0" collapsed="false">
      <c r="A478" s="18"/>
      <c r="C478" s="19"/>
      <c r="G478" s="20"/>
    </row>
    <row r="479" customFormat="false" ht="15" hidden="false" customHeight="false" outlineLevel="0" collapsed="false">
      <c r="A479" s="18"/>
      <c r="C479" s="19"/>
      <c r="G479" s="20"/>
    </row>
    <row r="480" customFormat="false" ht="15" hidden="false" customHeight="false" outlineLevel="0" collapsed="false">
      <c r="A480" s="18"/>
      <c r="C480" s="19"/>
      <c r="G480" s="20"/>
    </row>
    <row r="481" customFormat="false" ht="15" hidden="false" customHeight="false" outlineLevel="0" collapsed="false">
      <c r="A481" s="18"/>
      <c r="C481" s="19"/>
      <c r="G481" s="20"/>
    </row>
    <row r="482" customFormat="false" ht="15" hidden="false" customHeight="false" outlineLevel="0" collapsed="false">
      <c r="A482" s="18"/>
      <c r="C482" s="19"/>
      <c r="G482" s="20"/>
    </row>
    <row r="483" customFormat="false" ht="15" hidden="false" customHeight="false" outlineLevel="0" collapsed="false">
      <c r="A483" s="18"/>
      <c r="C483" s="19"/>
      <c r="G483" s="20"/>
    </row>
    <row r="484" customFormat="false" ht="15" hidden="false" customHeight="false" outlineLevel="0" collapsed="false">
      <c r="A484" s="18"/>
      <c r="C484" s="19"/>
      <c r="G484" s="20"/>
    </row>
    <row r="485" customFormat="false" ht="15" hidden="false" customHeight="false" outlineLevel="0" collapsed="false">
      <c r="A485" s="18"/>
      <c r="C485" s="19"/>
      <c r="G485" s="20"/>
    </row>
    <row r="486" customFormat="false" ht="15" hidden="false" customHeight="false" outlineLevel="0" collapsed="false">
      <c r="A486" s="18"/>
      <c r="C486" s="19"/>
      <c r="G486" s="20"/>
    </row>
    <row r="487" customFormat="false" ht="15" hidden="false" customHeight="false" outlineLevel="0" collapsed="false">
      <c r="A487" s="18"/>
      <c r="C487" s="19"/>
      <c r="G487" s="20"/>
    </row>
    <row r="488" customFormat="false" ht="15" hidden="false" customHeight="false" outlineLevel="0" collapsed="false">
      <c r="A488" s="18"/>
      <c r="C488" s="19"/>
      <c r="G488" s="20"/>
    </row>
    <row r="489" customFormat="false" ht="15" hidden="false" customHeight="false" outlineLevel="0" collapsed="false">
      <c r="A489" s="18"/>
      <c r="C489" s="19"/>
      <c r="G489" s="20"/>
    </row>
    <row r="490" customFormat="false" ht="15" hidden="false" customHeight="false" outlineLevel="0" collapsed="false">
      <c r="A490" s="18"/>
      <c r="C490" s="19"/>
      <c r="G490" s="20"/>
    </row>
    <row r="491" customFormat="false" ht="15" hidden="false" customHeight="false" outlineLevel="0" collapsed="false">
      <c r="A491" s="18"/>
      <c r="C491" s="19"/>
      <c r="G491" s="20"/>
    </row>
    <row r="492" customFormat="false" ht="15" hidden="false" customHeight="false" outlineLevel="0" collapsed="false">
      <c r="A492" s="18"/>
      <c r="C492" s="19"/>
      <c r="G492" s="20"/>
    </row>
    <row r="493" customFormat="false" ht="15" hidden="false" customHeight="false" outlineLevel="0" collapsed="false">
      <c r="A493" s="18"/>
      <c r="C493" s="19"/>
      <c r="G493" s="20"/>
    </row>
    <row r="494" customFormat="false" ht="15" hidden="false" customHeight="false" outlineLevel="0" collapsed="false">
      <c r="A494" s="18"/>
      <c r="C494" s="19"/>
      <c r="G494" s="20"/>
    </row>
    <row r="495" customFormat="false" ht="15" hidden="false" customHeight="false" outlineLevel="0" collapsed="false">
      <c r="A495" s="18"/>
      <c r="C495" s="19"/>
      <c r="G495" s="20"/>
    </row>
    <row r="496" customFormat="false" ht="15" hidden="false" customHeight="false" outlineLevel="0" collapsed="false">
      <c r="A496" s="18"/>
      <c r="C496" s="19"/>
      <c r="G496" s="20"/>
    </row>
    <row r="497" customFormat="false" ht="15" hidden="false" customHeight="false" outlineLevel="0" collapsed="false">
      <c r="A497" s="18"/>
      <c r="C497" s="19"/>
      <c r="G497" s="20"/>
    </row>
    <row r="498" customFormat="false" ht="15" hidden="false" customHeight="false" outlineLevel="0" collapsed="false">
      <c r="A498" s="18"/>
      <c r="C498" s="19"/>
      <c r="G498" s="20"/>
    </row>
    <row r="499" customFormat="false" ht="15" hidden="false" customHeight="false" outlineLevel="0" collapsed="false">
      <c r="A499" s="18"/>
      <c r="C499" s="19"/>
      <c r="G499" s="20"/>
    </row>
    <row r="500" customFormat="false" ht="15" hidden="false" customHeight="false" outlineLevel="0" collapsed="false">
      <c r="A500" s="18"/>
      <c r="C500" s="19"/>
      <c r="G500" s="20"/>
    </row>
    <row r="501" customFormat="false" ht="15" hidden="false" customHeight="false" outlineLevel="0" collapsed="false">
      <c r="A501" s="18"/>
      <c r="C501" s="19"/>
      <c r="G501" s="20"/>
    </row>
    <row r="502" customFormat="false" ht="15" hidden="false" customHeight="false" outlineLevel="0" collapsed="false">
      <c r="A502" s="18"/>
      <c r="C502" s="19"/>
      <c r="G502" s="20"/>
    </row>
    <row r="503" customFormat="false" ht="15" hidden="false" customHeight="false" outlineLevel="0" collapsed="false">
      <c r="A503" s="18"/>
      <c r="C503" s="19"/>
      <c r="G503" s="20"/>
    </row>
    <row r="504" customFormat="false" ht="15" hidden="false" customHeight="false" outlineLevel="0" collapsed="false">
      <c r="A504" s="18"/>
      <c r="C504" s="19"/>
      <c r="G504" s="20"/>
    </row>
    <row r="505" customFormat="false" ht="15" hidden="false" customHeight="false" outlineLevel="0" collapsed="false">
      <c r="A505" s="18"/>
      <c r="C505" s="19"/>
      <c r="G505" s="20"/>
    </row>
    <row r="506" customFormat="false" ht="15" hidden="false" customHeight="false" outlineLevel="0" collapsed="false">
      <c r="A506" s="18"/>
      <c r="C506" s="19"/>
      <c r="G506" s="20"/>
    </row>
    <row r="507" customFormat="false" ht="15" hidden="false" customHeight="false" outlineLevel="0" collapsed="false">
      <c r="A507" s="18"/>
      <c r="C507" s="19"/>
      <c r="G507" s="20"/>
    </row>
    <row r="508" customFormat="false" ht="15" hidden="false" customHeight="false" outlineLevel="0" collapsed="false">
      <c r="A508" s="18"/>
      <c r="C508" s="19"/>
      <c r="G508" s="20"/>
    </row>
    <row r="509" customFormat="false" ht="15" hidden="false" customHeight="false" outlineLevel="0" collapsed="false">
      <c r="A509" s="18"/>
      <c r="C509" s="19"/>
      <c r="G509" s="20"/>
    </row>
    <row r="510" customFormat="false" ht="15" hidden="false" customHeight="false" outlineLevel="0" collapsed="false">
      <c r="A510" s="18"/>
      <c r="C510" s="19"/>
      <c r="G510" s="20"/>
    </row>
    <row r="511" customFormat="false" ht="15" hidden="false" customHeight="false" outlineLevel="0" collapsed="false">
      <c r="A511" s="18"/>
      <c r="C511" s="19"/>
      <c r="G511" s="20"/>
    </row>
    <row r="512" customFormat="false" ht="15" hidden="false" customHeight="false" outlineLevel="0" collapsed="false">
      <c r="A512" s="18"/>
      <c r="C512" s="19"/>
      <c r="G512" s="20"/>
    </row>
    <row r="513" customFormat="false" ht="15" hidden="false" customHeight="false" outlineLevel="0" collapsed="false">
      <c r="A513" s="18"/>
      <c r="C513" s="19"/>
      <c r="G513" s="20"/>
    </row>
    <row r="514" customFormat="false" ht="15" hidden="false" customHeight="false" outlineLevel="0" collapsed="false">
      <c r="A514" s="18"/>
      <c r="C514" s="19"/>
      <c r="G514" s="20"/>
    </row>
    <row r="515" customFormat="false" ht="15" hidden="false" customHeight="false" outlineLevel="0" collapsed="false">
      <c r="A515" s="18"/>
      <c r="C515" s="19"/>
      <c r="G515" s="20"/>
    </row>
    <row r="516" customFormat="false" ht="15" hidden="false" customHeight="false" outlineLevel="0" collapsed="false">
      <c r="A516" s="18"/>
      <c r="C516" s="19"/>
      <c r="G516" s="20"/>
    </row>
    <row r="517" customFormat="false" ht="15" hidden="false" customHeight="false" outlineLevel="0" collapsed="false">
      <c r="A517" s="18"/>
      <c r="C517" s="19"/>
      <c r="G517" s="20"/>
    </row>
    <row r="518" customFormat="false" ht="15" hidden="false" customHeight="false" outlineLevel="0" collapsed="false">
      <c r="A518" s="18"/>
      <c r="C518" s="19"/>
      <c r="G518" s="20"/>
    </row>
    <row r="519" customFormat="false" ht="15" hidden="false" customHeight="false" outlineLevel="0" collapsed="false">
      <c r="A519" s="18"/>
      <c r="C519" s="19"/>
      <c r="G519" s="20"/>
    </row>
    <row r="520" customFormat="false" ht="15" hidden="false" customHeight="false" outlineLevel="0" collapsed="false">
      <c r="A520" s="18"/>
      <c r="C520" s="19"/>
      <c r="G520" s="20"/>
    </row>
    <row r="521" customFormat="false" ht="15" hidden="false" customHeight="false" outlineLevel="0" collapsed="false">
      <c r="A521" s="18"/>
      <c r="C521" s="19"/>
      <c r="G521" s="20"/>
    </row>
    <row r="522" customFormat="false" ht="15" hidden="false" customHeight="false" outlineLevel="0" collapsed="false">
      <c r="A522" s="18"/>
      <c r="C522" s="19"/>
      <c r="G522" s="20"/>
    </row>
    <row r="523" customFormat="false" ht="15" hidden="false" customHeight="false" outlineLevel="0" collapsed="false">
      <c r="A523" s="18"/>
      <c r="C523" s="19"/>
      <c r="G523" s="20"/>
    </row>
    <row r="524" customFormat="false" ht="15" hidden="false" customHeight="false" outlineLevel="0" collapsed="false">
      <c r="A524" s="18"/>
      <c r="C524" s="19"/>
      <c r="G524" s="20"/>
    </row>
    <row r="525" customFormat="false" ht="15" hidden="false" customHeight="false" outlineLevel="0" collapsed="false">
      <c r="A525" s="18"/>
      <c r="C525" s="19"/>
      <c r="G525" s="20"/>
    </row>
    <row r="526" customFormat="false" ht="15" hidden="false" customHeight="false" outlineLevel="0" collapsed="false">
      <c r="A526" s="18"/>
      <c r="C526" s="19"/>
      <c r="G526" s="20"/>
    </row>
    <row r="527" customFormat="false" ht="15" hidden="false" customHeight="false" outlineLevel="0" collapsed="false">
      <c r="A527" s="18"/>
      <c r="C527" s="19"/>
      <c r="G527" s="20"/>
    </row>
    <row r="528" customFormat="false" ht="15" hidden="false" customHeight="false" outlineLevel="0" collapsed="false">
      <c r="A528" s="18"/>
      <c r="C528" s="19"/>
      <c r="G528" s="20"/>
    </row>
    <row r="529" customFormat="false" ht="15" hidden="false" customHeight="false" outlineLevel="0" collapsed="false">
      <c r="A529" s="18"/>
      <c r="C529" s="19"/>
      <c r="G529" s="20"/>
    </row>
    <row r="530" customFormat="false" ht="15" hidden="false" customHeight="false" outlineLevel="0" collapsed="false">
      <c r="A530" s="18"/>
      <c r="C530" s="19"/>
      <c r="G530" s="20"/>
    </row>
    <row r="531" customFormat="false" ht="15" hidden="false" customHeight="false" outlineLevel="0" collapsed="false">
      <c r="A531" s="18"/>
      <c r="C531" s="19"/>
      <c r="G531" s="20"/>
    </row>
    <row r="532" customFormat="false" ht="15" hidden="false" customHeight="false" outlineLevel="0" collapsed="false">
      <c r="A532" s="18"/>
      <c r="C532" s="19"/>
      <c r="G532" s="20"/>
    </row>
    <row r="533" customFormat="false" ht="15" hidden="false" customHeight="false" outlineLevel="0" collapsed="false">
      <c r="A533" s="18"/>
      <c r="C533" s="19"/>
      <c r="G533" s="20"/>
    </row>
    <row r="534" customFormat="false" ht="15" hidden="false" customHeight="false" outlineLevel="0" collapsed="false">
      <c r="A534" s="18"/>
      <c r="C534" s="19"/>
      <c r="G534" s="20"/>
    </row>
    <row r="535" customFormat="false" ht="15" hidden="false" customHeight="false" outlineLevel="0" collapsed="false">
      <c r="A535" s="18"/>
      <c r="C535" s="19"/>
      <c r="G535" s="20"/>
    </row>
    <row r="536" customFormat="false" ht="15" hidden="false" customHeight="false" outlineLevel="0" collapsed="false">
      <c r="A536" s="18"/>
      <c r="C536" s="19"/>
      <c r="G536" s="20"/>
    </row>
    <row r="537" customFormat="false" ht="15" hidden="false" customHeight="false" outlineLevel="0" collapsed="false">
      <c r="A537" s="18"/>
      <c r="C537" s="19"/>
      <c r="G537" s="20"/>
    </row>
    <row r="538" customFormat="false" ht="15" hidden="false" customHeight="false" outlineLevel="0" collapsed="false">
      <c r="A538" s="18"/>
      <c r="C538" s="19"/>
      <c r="G538" s="20"/>
    </row>
    <row r="539" customFormat="false" ht="15" hidden="false" customHeight="false" outlineLevel="0" collapsed="false">
      <c r="A539" s="18"/>
      <c r="C539" s="19"/>
      <c r="G539" s="20"/>
    </row>
    <row r="540" customFormat="false" ht="15" hidden="false" customHeight="false" outlineLevel="0" collapsed="false">
      <c r="A540" s="18"/>
      <c r="C540" s="19"/>
      <c r="G540" s="20"/>
    </row>
    <row r="541" customFormat="false" ht="15" hidden="false" customHeight="false" outlineLevel="0" collapsed="false">
      <c r="A541" s="18"/>
      <c r="C541" s="19"/>
      <c r="G541" s="20"/>
    </row>
    <row r="542" customFormat="false" ht="15" hidden="false" customHeight="false" outlineLevel="0" collapsed="false">
      <c r="A542" s="18"/>
      <c r="C542" s="19"/>
      <c r="G542" s="20"/>
    </row>
    <row r="543" customFormat="false" ht="15" hidden="false" customHeight="false" outlineLevel="0" collapsed="false">
      <c r="A543" s="18"/>
      <c r="C543" s="19"/>
      <c r="G543" s="20"/>
    </row>
    <row r="544" customFormat="false" ht="15" hidden="false" customHeight="false" outlineLevel="0" collapsed="false">
      <c r="A544" s="18"/>
      <c r="C544" s="19"/>
      <c r="G544" s="20"/>
    </row>
    <row r="545" customFormat="false" ht="15" hidden="false" customHeight="false" outlineLevel="0" collapsed="false">
      <c r="A545" s="18"/>
      <c r="C545" s="19"/>
      <c r="G545" s="20"/>
    </row>
    <row r="546" customFormat="false" ht="15" hidden="false" customHeight="false" outlineLevel="0" collapsed="false">
      <c r="A546" s="18"/>
      <c r="C546" s="19"/>
      <c r="G546" s="20"/>
    </row>
    <row r="547" customFormat="false" ht="15" hidden="false" customHeight="false" outlineLevel="0" collapsed="false">
      <c r="A547" s="18"/>
      <c r="C547" s="19"/>
      <c r="G547" s="20"/>
    </row>
    <row r="548" customFormat="false" ht="15" hidden="false" customHeight="false" outlineLevel="0" collapsed="false">
      <c r="A548" s="18"/>
      <c r="C548" s="19"/>
      <c r="G548" s="20"/>
    </row>
    <row r="549" customFormat="false" ht="15" hidden="false" customHeight="false" outlineLevel="0" collapsed="false">
      <c r="A549" s="18"/>
      <c r="C549" s="19"/>
      <c r="G549" s="20"/>
    </row>
    <row r="550" customFormat="false" ht="15" hidden="false" customHeight="false" outlineLevel="0" collapsed="false">
      <c r="A550" s="18"/>
      <c r="C550" s="19"/>
      <c r="G550" s="20"/>
    </row>
    <row r="551" customFormat="false" ht="15" hidden="false" customHeight="false" outlineLevel="0" collapsed="false">
      <c r="A551" s="18"/>
      <c r="C551" s="19"/>
      <c r="G551" s="20"/>
    </row>
    <row r="552" customFormat="false" ht="15" hidden="false" customHeight="false" outlineLevel="0" collapsed="false">
      <c r="A552" s="18"/>
      <c r="C552" s="19"/>
      <c r="G552" s="20"/>
    </row>
    <row r="553" customFormat="false" ht="15" hidden="false" customHeight="false" outlineLevel="0" collapsed="false">
      <c r="A553" s="18"/>
      <c r="C553" s="19"/>
      <c r="G553" s="20"/>
    </row>
    <row r="554" customFormat="false" ht="15" hidden="false" customHeight="false" outlineLevel="0" collapsed="false">
      <c r="A554" s="18"/>
      <c r="C554" s="19"/>
      <c r="G554" s="20"/>
    </row>
    <row r="555" customFormat="false" ht="15" hidden="false" customHeight="false" outlineLevel="0" collapsed="false">
      <c r="A555" s="18"/>
      <c r="C555" s="19"/>
      <c r="G555" s="20"/>
    </row>
    <row r="556" customFormat="false" ht="15" hidden="false" customHeight="false" outlineLevel="0" collapsed="false">
      <c r="A556" s="18"/>
      <c r="C556" s="19"/>
      <c r="G556" s="20"/>
    </row>
    <row r="557" customFormat="false" ht="15" hidden="false" customHeight="false" outlineLevel="0" collapsed="false">
      <c r="A557" s="18"/>
      <c r="C557" s="19"/>
      <c r="G557" s="20"/>
    </row>
    <row r="558" customFormat="false" ht="15" hidden="false" customHeight="false" outlineLevel="0" collapsed="false">
      <c r="A558" s="18"/>
      <c r="C558" s="19"/>
      <c r="G558" s="20"/>
    </row>
    <row r="559" customFormat="false" ht="15" hidden="false" customHeight="false" outlineLevel="0" collapsed="false">
      <c r="A559" s="18"/>
      <c r="C559" s="19"/>
      <c r="G559" s="20"/>
    </row>
    <row r="560" customFormat="false" ht="15" hidden="false" customHeight="false" outlineLevel="0" collapsed="false">
      <c r="A560" s="18"/>
      <c r="C560" s="19"/>
      <c r="G560" s="20"/>
    </row>
    <row r="561" customFormat="false" ht="15" hidden="false" customHeight="false" outlineLevel="0" collapsed="false">
      <c r="A561" s="18"/>
      <c r="C561" s="19"/>
      <c r="G561" s="20"/>
    </row>
    <row r="562" customFormat="false" ht="15" hidden="false" customHeight="false" outlineLevel="0" collapsed="false">
      <c r="A562" s="18"/>
      <c r="C562" s="19"/>
      <c r="G562" s="20"/>
    </row>
    <row r="563" customFormat="false" ht="15" hidden="false" customHeight="false" outlineLevel="0" collapsed="false">
      <c r="A563" s="18"/>
      <c r="C563" s="19"/>
      <c r="G563" s="20"/>
    </row>
    <row r="564" customFormat="false" ht="15" hidden="false" customHeight="false" outlineLevel="0" collapsed="false">
      <c r="A564" s="18"/>
      <c r="C564" s="19"/>
      <c r="G564" s="20"/>
    </row>
    <row r="565" customFormat="false" ht="15" hidden="false" customHeight="false" outlineLevel="0" collapsed="false">
      <c r="A565" s="18"/>
      <c r="C565" s="19"/>
      <c r="G565" s="20"/>
    </row>
    <row r="566" customFormat="false" ht="15" hidden="false" customHeight="false" outlineLevel="0" collapsed="false">
      <c r="A566" s="18"/>
      <c r="C566" s="19"/>
      <c r="G566" s="20"/>
    </row>
    <row r="567" customFormat="false" ht="15" hidden="false" customHeight="false" outlineLevel="0" collapsed="false">
      <c r="A567" s="18"/>
      <c r="C567" s="19"/>
      <c r="G567" s="20"/>
    </row>
    <row r="568" customFormat="false" ht="15" hidden="false" customHeight="false" outlineLevel="0" collapsed="false">
      <c r="A568" s="18"/>
      <c r="C568" s="19"/>
      <c r="G568" s="20"/>
    </row>
    <row r="569" customFormat="false" ht="15" hidden="false" customHeight="false" outlineLevel="0" collapsed="false">
      <c r="A569" s="18"/>
      <c r="C569" s="19"/>
      <c r="G569" s="20"/>
    </row>
    <row r="570" customFormat="false" ht="15" hidden="false" customHeight="false" outlineLevel="0" collapsed="false">
      <c r="A570" s="18"/>
      <c r="C570" s="19"/>
      <c r="G570" s="20"/>
    </row>
    <row r="571" customFormat="false" ht="15" hidden="false" customHeight="false" outlineLevel="0" collapsed="false">
      <c r="A571" s="18"/>
      <c r="C571" s="19"/>
      <c r="G571" s="20"/>
    </row>
    <row r="572" customFormat="false" ht="15" hidden="false" customHeight="false" outlineLevel="0" collapsed="false">
      <c r="A572" s="18"/>
      <c r="C572" s="19"/>
      <c r="G572" s="20"/>
    </row>
    <row r="573" customFormat="false" ht="15" hidden="false" customHeight="false" outlineLevel="0" collapsed="false">
      <c r="A573" s="18"/>
      <c r="C573" s="19"/>
      <c r="G573" s="20"/>
    </row>
    <row r="574" customFormat="false" ht="15" hidden="false" customHeight="false" outlineLevel="0" collapsed="false">
      <c r="A574" s="18"/>
      <c r="C574" s="19"/>
      <c r="G574" s="20"/>
    </row>
    <row r="575" customFormat="false" ht="15" hidden="false" customHeight="false" outlineLevel="0" collapsed="false">
      <c r="A575" s="18"/>
      <c r="C575" s="19"/>
      <c r="G575" s="20"/>
    </row>
    <row r="576" customFormat="false" ht="15" hidden="false" customHeight="false" outlineLevel="0" collapsed="false">
      <c r="A576" s="18"/>
      <c r="C576" s="19"/>
      <c r="G576" s="20"/>
    </row>
    <row r="577" customFormat="false" ht="15" hidden="false" customHeight="false" outlineLevel="0" collapsed="false">
      <c r="A577" s="18"/>
      <c r="C577" s="19"/>
      <c r="G577" s="20"/>
    </row>
    <row r="578" customFormat="false" ht="15" hidden="false" customHeight="false" outlineLevel="0" collapsed="false">
      <c r="A578" s="18"/>
      <c r="C578" s="19"/>
      <c r="G578" s="20"/>
    </row>
    <row r="579" customFormat="false" ht="15" hidden="false" customHeight="false" outlineLevel="0" collapsed="false">
      <c r="A579" s="18"/>
      <c r="C579" s="19"/>
      <c r="G579" s="20"/>
    </row>
    <row r="580" customFormat="false" ht="15" hidden="false" customHeight="false" outlineLevel="0" collapsed="false">
      <c r="A580" s="18"/>
      <c r="C580" s="19"/>
      <c r="G580" s="20"/>
    </row>
    <row r="581" customFormat="false" ht="15" hidden="false" customHeight="false" outlineLevel="0" collapsed="false">
      <c r="A581" s="18"/>
      <c r="C581" s="19"/>
      <c r="G581" s="20"/>
    </row>
    <row r="582" customFormat="false" ht="15" hidden="false" customHeight="false" outlineLevel="0" collapsed="false">
      <c r="A582" s="18"/>
      <c r="C582" s="19"/>
      <c r="G582" s="20"/>
    </row>
    <row r="583" customFormat="false" ht="15" hidden="false" customHeight="false" outlineLevel="0" collapsed="false">
      <c r="A583" s="18"/>
      <c r="C583" s="19"/>
      <c r="G583" s="20"/>
    </row>
    <row r="584" customFormat="false" ht="15" hidden="false" customHeight="false" outlineLevel="0" collapsed="false">
      <c r="A584" s="18"/>
      <c r="C584" s="19"/>
      <c r="G584" s="20"/>
    </row>
    <row r="585" customFormat="false" ht="15" hidden="false" customHeight="false" outlineLevel="0" collapsed="false">
      <c r="A585" s="18"/>
      <c r="C585" s="19"/>
      <c r="G585" s="20"/>
    </row>
    <row r="586" customFormat="false" ht="15" hidden="false" customHeight="false" outlineLevel="0" collapsed="false">
      <c r="A586" s="18"/>
      <c r="C586" s="19"/>
      <c r="G586" s="20"/>
    </row>
    <row r="587" customFormat="false" ht="15" hidden="false" customHeight="false" outlineLevel="0" collapsed="false">
      <c r="A587" s="18"/>
      <c r="C587" s="19"/>
      <c r="G587" s="20"/>
    </row>
    <row r="588" customFormat="false" ht="15" hidden="false" customHeight="false" outlineLevel="0" collapsed="false">
      <c r="A588" s="18"/>
      <c r="C588" s="19"/>
      <c r="G588" s="20"/>
    </row>
    <row r="589" customFormat="false" ht="15" hidden="false" customHeight="false" outlineLevel="0" collapsed="false">
      <c r="A589" s="18"/>
      <c r="C589" s="19"/>
      <c r="G589" s="20"/>
    </row>
    <row r="590" customFormat="false" ht="15" hidden="false" customHeight="false" outlineLevel="0" collapsed="false">
      <c r="A590" s="18"/>
      <c r="C590" s="19"/>
      <c r="G590" s="20"/>
    </row>
    <row r="591" customFormat="false" ht="15" hidden="false" customHeight="false" outlineLevel="0" collapsed="false">
      <c r="A591" s="18"/>
      <c r="C591" s="19"/>
      <c r="G591" s="20"/>
    </row>
    <row r="592" customFormat="false" ht="15" hidden="false" customHeight="false" outlineLevel="0" collapsed="false">
      <c r="A592" s="18"/>
      <c r="C592" s="19"/>
      <c r="G592" s="20"/>
    </row>
    <row r="593" customFormat="false" ht="15" hidden="false" customHeight="false" outlineLevel="0" collapsed="false">
      <c r="A593" s="18"/>
      <c r="C593" s="19"/>
      <c r="G593" s="20"/>
    </row>
    <row r="594" customFormat="false" ht="15" hidden="false" customHeight="false" outlineLevel="0" collapsed="false">
      <c r="A594" s="18"/>
      <c r="C594" s="19"/>
      <c r="G594" s="20"/>
    </row>
    <row r="595" customFormat="false" ht="15" hidden="false" customHeight="false" outlineLevel="0" collapsed="false">
      <c r="A595" s="18"/>
      <c r="C595" s="19"/>
      <c r="G595" s="20"/>
    </row>
    <row r="596" customFormat="false" ht="15" hidden="false" customHeight="false" outlineLevel="0" collapsed="false">
      <c r="A596" s="18"/>
      <c r="C596" s="19"/>
      <c r="G596" s="20"/>
    </row>
    <row r="597" customFormat="false" ht="15" hidden="false" customHeight="false" outlineLevel="0" collapsed="false">
      <c r="A597" s="18"/>
      <c r="C597" s="19"/>
      <c r="G597" s="20"/>
    </row>
    <row r="598" customFormat="false" ht="15" hidden="false" customHeight="false" outlineLevel="0" collapsed="false">
      <c r="A598" s="18"/>
      <c r="C598" s="19"/>
      <c r="G598" s="20"/>
    </row>
    <row r="599" customFormat="false" ht="15" hidden="false" customHeight="false" outlineLevel="0" collapsed="false">
      <c r="A599" s="18"/>
      <c r="C599" s="19"/>
      <c r="G599" s="20"/>
    </row>
    <row r="600" customFormat="false" ht="15" hidden="false" customHeight="false" outlineLevel="0" collapsed="false">
      <c r="A600" s="18"/>
      <c r="C600" s="19"/>
      <c r="G600" s="20"/>
    </row>
    <row r="601" customFormat="false" ht="15" hidden="false" customHeight="false" outlineLevel="0" collapsed="false">
      <c r="A601" s="18"/>
      <c r="C601" s="19"/>
      <c r="G601" s="20"/>
    </row>
    <row r="602" customFormat="false" ht="15" hidden="false" customHeight="false" outlineLevel="0" collapsed="false">
      <c r="A602" s="18"/>
      <c r="C602" s="19"/>
      <c r="G602" s="20"/>
    </row>
    <row r="603" customFormat="false" ht="15" hidden="false" customHeight="false" outlineLevel="0" collapsed="false">
      <c r="A603" s="18"/>
      <c r="C603" s="19"/>
      <c r="G603" s="20"/>
    </row>
    <row r="604" customFormat="false" ht="15" hidden="false" customHeight="false" outlineLevel="0" collapsed="false">
      <c r="A604" s="18"/>
      <c r="C604" s="19"/>
      <c r="G604" s="20"/>
    </row>
    <row r="605" customFormat="false" ht="15" hidden="false" customHeight="false" outlineLevel="0" collapsed="false">
      <c r="A605" s="18"/>
      <c r="C605" s="19"/>
      <c r="G605" s="20"/>
    </row>
    <row r="606" customFormat="false" ht="15" hidden="false" customHeight="false" outlineLevel="0" collapsed="false">
      <c r="A606" s="18"/>
      <c r="C606" s="19"/>
      <c r="G606" s="20"/>
    </row>
    <row r="607" customFormat="false" ht="15" hidden="false" customHeight="false" outlineLevel="0" collapsed="false">
      <c r="A607" s="18"/>
      <c r="C607" s="19"/>
      <c r="G607" s="20"/>
    </row>
    <row r="608" customFormat="false" ht="15" hidden="false" customHeight="false" outlineLevel="0" collapsed="false">
      <c r="A608" s="18"/>
      <c r="C608" s="19"/>
      <c r="G608" s="20"/>
    </row>
    <row r="609" customFormat="false" ht="15" hidden="false" customHeight="false" outlineLevel="0" collapsed="false">
      <c r="A609" s="18"/>
      <c r="C609" s="19"/>
      <c r="G609" s="20"/>
    </row>
    <row r="610" customFormat="false" ht="15" hidden="false" customHeight="false" outlineLevel="0" collapsed="false">
      <c r="A610" s="18"/>
      <c r="C610" s="19"/>
      <c r="G610" s="20"/>
    </row>
    <row r="611" customFormat="false" ht="15" hidden="false" customHeight="false" outlineLevel="0" collapsed="false">
      <c r="A611" s="18"/>
      <c r="C611" s="19"/>
      <c r="G611" s="20"/>
    </row>
    <row r="612" customFormat="false" ht="15" hidden="false" customHeight="false" outlineLevel="0" collapsed="false">
      <c r="A612" s="18"/>
      <c r="C612" s="19"/>
      <c r="G612" s="20"/>
    </row>
    <row r="613" customFormat="false" ht="15" hidden="false" customHeight="false" outlineLevel="0" collapsed="false">
      <c r="A613" s="18"/>
      <c r="C613" s="19"/>
      <c r="G613" s="20"/>
    </row>
    <row r="614" customFormat="false" ht="15" hidden="false" customHeight="false" outlineLevel="0" collapsed="false">
      <c r="A614" s="18"/>
      <c r="C614" s="19"/>
      <c r="G614" s="20"/>
    </row>
    <row r="615" customFormat="false" ht="15" hidden="false" customHeight="false" outlineLevel="0" collapsed="false">
      <c r="A615" s="18"/>
      <c r="C615" s="19"/>
      <c r="G615" s="20"/>
    </row>
    <row r="616" customFormat="false" ht="15" hidden="false" customHeight="false" outlineLevel="0" collapsed="false">
      <c r="A616" s="18"/>
      <c r="C616" s="19"/>
      <c r="G616" s="20"/>
    </row>
    <row r="617" customFormat="false" ht="15" hidden="false" customHeight="false" outlineLevel="0" collapsed="false">
      <c r="A617" s="18"/>
      <c r="C617" s="19"/>
      <c r="G617" s="20"/>
    </row>
    <row r="618" customFormat="false" ht="15" hidden="false" customHeight="false" outlineLevel="0" collapsed="false">
      <c r="A618" s="18"/>
      <c r="C618" s="19"/>
      <c r="G618" s="20"/>
    </row>
    <row r="619" customFormat="false" ht="15" hidden="false" customHeight="false" outlineLevel="0" collapsed="false">
      <c r="A619" s="18"/>
      <c r="C619" s="19"/>
      <c r="G619" s="20"/>
    </row>
    <row r="620" customFormat="false" ht="15" hidden="false" customHeight="false" outlineLevel="0" collapsed="false">
      <c r="A620" s="18"/>
      <c r="C620" s="19"/>
      <c r="G620" s="20"/>
    </row>
    <row r="621" customFormat="false" ht="15" hidden="false" customHeight="false" outlineLevel="0" collapsed="false">
      <c r="A621" s="18"/>
      <c r="C621" s="19"/>
      <c r="G621" s="20"/>
    </row>
    <row r="622" customFormat="false" ht="15" hidden="false" customHeight="false" outlineLevel="0" collapsed="false">
      <c r="A622" s="18"/>
      <c r="C622" s="19"/>
      <c r="G622" s="20"/>
    </row>
    <row r="623" customFormat="false" ht="15" hidden="false" customHeight="false" outlineLevel="0" collapsed="false">
      <c r="A623" s="18"/>
      <c r="C623" s="19"/>
      <c r="G623" s="20"/>
    </row>
    <row r="624" customFormat="false" ht="15" hidden="false" customHeight="false" outlineLevel="0" collapsed="false">
      <c r="A624" s="18"/>
      <c r="C624" s="19"/>
      <c r="G624" s="20"/>
    </row>
    <row r="625" customFormat="false" ht="15" hidden="false" customHeight="false" outlineLevel="0" collapsed="false">
      <c r="A625" s="18"/>
      <c r="C625" s="19"/>
      <c r="G625" s="20"/>
    </row>
    <row r="626" customFormat="false" ht="15" hidden="false" customHeight="false" outlineLevel="0" collapsed="false">
      <c r="A626" s="18"/>
      <c r="C626" s="19"/>
      <c r="G626" s="20"/>
    </row>
    <row r="627" customFormat="false" ht="15" hidden="false" customHeight="false" outlineLevel="0" collapsed="false">
      <c r="A627" s="18"/>
      <c r="C627" s="19"/>
      <c r="G627" s="20"/>
    </row>
    <row r="628" customFormat="false" ht="15" hidden="false" customHeight="false" outlineLevel="0" collapsed="false">
      <c r="A628" s="18"/>
      <c r="C628" s="19"/>
      <c r="G628" s="20"/>
    </row>
    <row r="629" customFormat="false" ht="15" hidden="false" customHeight="false" outlineLevel="0" collapsed="false">
      <c r="A629" s="18"/>
      <c r="C629" s="19"/>
      <c r="G629" s="20"/>
    </row>
    <row r="630" customFormat="false" ht="15" hidden="false" customHeight="false" outlineLevel="0" collapsed="false">
      <c r="A630" s="18"/>
      <c r="C630" s="19"/>
      <c r="G630" s="20"/>
    </row>
    <row r="631" customFormat="false" ht="15" hidden="false" customHeight="false" outlineLevel="0" collapsed="false">
      <c r="A631" s="18"/>
      <c r="C631" s="19"/>
      <c r="G631" s="20"/>
    </row>
    <row r="632" customFormat="false" ht="15" hidden="false" customHeight="false" outlineLevel="0" collapsed="false">
      <c r="A632" s="18"/>
      <c r="C632" s="19"/>
      <c r="G632" s="20"/>
    </row>
    <row r="633" customFormat="false" ht="15" hidden="false" customHeight="false" outlineLevel="0" collapsed="false">
      <c r="A633" s="18"/>
      <c r="C633" s="19"/>
      <c r="G633" s="20"/>
    </row>
    <row r="634" customFormat="false" ht="15" hidden="false" customHeight="false" outlineLevel="0" collapsed="false">
      <c r="A634" s="18"/>
      <c r="C634" s="19"/>
      <c r="G634" s="20"/>
    </row>
    <row r="635" customFormat="false" ht="15" hidden="false" customHeight="false" outlineLevel="0" collapsed="false">
      <c r="A635" s="18"/>
      <c r="C635" s="19"/>
      <c r="G635" s="20"/>
    </row>
    <row r="636" customFormat="false" ht="15" hidden="false" customHeight="false" outlineLevel="0" collapsed="false">
      <c r="A636" s="18"/>
      <c r="C636" s="19"/>
      <c r="G636" s="20"/>
    </row>
    <row r="637" customFormat="false" ht="15" hidden="false" customHeight="false" outlineLevel="0" collapsed="false">
      <c r="A637" s="18"/>
      <c r="C637" s="19"/>
      <c r="G637" s="20"/>
    </row>
    <row r="638" customFormat="false" ht="15" hidden="false" customHeight="false" outlineLevel="0" collapsed="false">
      <c r="A638" s="18"/>
      <c r="C638" s="19"/>
      <c r="G638" s="20"/>
    </row>
    <row r="639" customFormat="false" ht="15" hidden="false" customHeight="false" outlineLevel="0" collapsed="false">
      <c r="A639" s="18"/>
      <c r="C639" s="19"/>
      <c r="G639" s="20"/>
    </row>
    <row r="640" customFormat="false" ht="15" hidden="false" customHeight="false" outlineLevel="0" collapsed="false">
      <c r="A640" s="18"/>
      <c r="C640" s="19"/>
      <c r="G640" s="20"/>
    </row>
    <row r="641" customFormat="false" ht="15" hidden="false" customHeight="false" outlineLevel="0" collapsed="false">
      <c r="A641" s="18"/>
      <c r="C641" s="19"/>
      <c r="G641" s="20"/>
    </row>
    <row r="642" customFormat="false" ht="15" hidden="false" customHeight="false" outlineLevel="0" collapsed="false">
      <c r="A642" s="18"/>
      <c r="C642" s="19"/>
      <c r="G642" s="20"/>
    </row>
    <row r="643" customFormat="false" ht="15" hidden="false" customHeight="false" outlineLevel="0" collapsed="false">
      <c r="A643" s="18"/>
      <c r="C643" s="19"/>
      <c r="G643" s="20"/>
    </row>
    <row r="644" customFormat="false" ht="15" hidden="false" customHeight="false" outlineLevel="0" collapsed="false">
      <c r="A644" s="18"/>
      <c r="C644" s="19"/>
      <c r="G644" s="20"/>
    </row>
    <row r="645" customFormat="false" ht="15" hidden="false" customHeight="false" outlineLevel="0" collapsed="false">
      <c r="A645" s="18"/>
      <c r="C645" s="19"/>
      <c r="G645" s="20"/>
    </row>
    <row r="646" customFormat="false" ht="15" hidden="false" customHeight="false" outlineLevel="0" collapsed="false">
      <c r="A646" s="18"/>
      <c r="C646" s="19"/>
      <c r="G646" s="20"/>
    </row>
    <row r="647" customFormat="false" ht="15" hidden="false" customHeight="false" outlineLevel="0" collapsed="false">
      <c r="A647" s="18"/>
      <c r="C647" s="19"/>
      <c r="G647" s="20"/>
    </row>
    <row r="648" customFormat="false" ht="15" hidden="false" customHeight="false" outlineLevel="0" collapsed="false">
      <c r="A648" s="18"/>
      <c r="C648" s="19"/>
      <c r="G648" s="20"/>
    </row>
    <row r="649" customFormat="false" ht="15" hidden="false" customHeight="false" outlineLevel="0" collapsed="false">
      <c r="A649" s="18"/>
      <c r="C649" s="19"/>
      <c r="G649" s="20"/>
    </row>
    <row r="650" customFormat="false" ht="15" hidden="false" customHeight="false" outlineLevel="0" collapsed="false">
      <c r="A650" s="18"/>
      <c r="C650" s="19"/>
      <c r="G650" s="20"/>
    </row>
    <row r="651" customFormat="false" ht="15" hidden="false" customHeight="false" outlineLevel="0" collapsed="false">
      <c r="A651" s="18"/>
      <c r="C651" s="19"/>
      <c r="G651" s="20"/>
    </row>
    <row r="652" customFormat="false" ht="15" hidden="false" customHeight="false" outlineLevel="0" collapsed="false">
      <c r="A652" s="18"/>
      <c r="C652" s="19"/>
      <c r="G652" s="20"/>
    </row>
    <row r="653" customFormat="false" ht="15" hidden="false" customHeight="false" outlineLevel="0" collapsed="false">
      <c r="A653" s="18"/>
      <c r="C653" s="19"/>
      <c r="G653" s="20"/>
    </row>
    <row r="654" customFormat="false" ht="15" hidden="false" customHeight="false" outlineLevel="0" collapsed="false">
      <c r="A654" s="18"/>
      <c r="C654" s="19"/>
      <c r="G654" s="20"/>
    </row>
    <row r="655" customFormat="false" ht="15" hidden="false" customHeight="false" outlineLevel="0" collapsed="false">
      <c r="A655" s="18"/>
      <c r="C655" s="19"/>
      <c r="G655" s="20"/>
    </row>
    <row r="656" customFormat="false" ht="15" hidden="false" customHeight="false" outlineLevel="0" collapsed="false">
      <c r="A656" s="18"/>
      <c r="C656" s="19"/>
      <c r="G656" s="20"/>
    </row>
    <row r="657" customFormat="false" ht="15" hidden="false" customHeight="false" outlineLevel="0" collapsed="false">
      <c r="A657" s="18"/>
      <c r="C657" s="19"/>
      <c r="G657" s="20"/>
    </row>
    <row r="658" customFormat="false" ht="15" hidden="false" customHeight="false" outlineLevel="0" collapsed="false">
      <c r="A658" s="18"/>
      <c r="C658" s="19"/>
      <c r="G658" s="20"/>
    </row>
    <row r="659" customFormat="false" ht="15" hidden="false" customHeight="false" outlineLevel="0" collapsed="false">
      <c r="A659" s="18"/>
      <c r="C659" s="19"/>
      <c r="G659" s="20"/>
    </row>
    <row r="660" customFormat="false" ht="15" hidden="false" customHeight="false" outlineLevel="0" collapsed="false">
      <c r="A660" s="18"/>
      <c r="C660" s="19"/>
      <c r="G660" s="20"/>
    </row>
    <row r="661" customFormat="false" ht="15" hidden="false" customHeight="false" outlineLevel="0" collapsed="false">
      <c r="A661" s="18"/>
      <c r="C661" s="19"/>
      <c r="G661" s="20"/>
    </row>
    <row r="662" customFormat="false" ht="15" hidden="false" customHeight="false" outlineLevel="0" collapsed="false">
      <c r="A662" s="18"/>
      <c r="C662" s="19"/>
      <c r="G662" s="20"/>
    </row>
    <row r="663" customFormat="false" ht="15" hidden="false" customHeight="false" outlineLevel="0" collapsed="false">
      <c r="A663" s="18"/>
      <c r="C663" s="19"/>
      <c r="G663" s="20"/>
    </row>
    <row r="664" customFormat="false" ht="15" hidden="false" customHeight="false" outlineLevel="0" collapsed="false">
      <c r="A664" s="18"/>
      <c r="C664" s="19"/>
      <c r="G664" s="20"/>
    </row>
    <row r="665" customFormat="false" ht="15" hidden="false" customHeight="false" outlineLevel="0" collapsed="false">
      <c r="A665" s="18"/>
      <c r="C665" s="19"/>
      <c r="G665" s="20"/>
    </row>
    <row r="666" customFormat="false" ht="15" hidden="false" customHeight="false" outlineLevel="0" collapsed="false">
      <c r="A666" s="18"/>
      <c r="C666" s="19"/>
      <c r="G666" s="20"/>
    </row>
    <row r="667" customFormat="false" ht="15" hidden="false" customHeight="false" outlineLevel="0" collapsed="false">
      <c r="A667" s="18"/>
      <c r="C667" s="19"/>
      <c r="G667" s="20"/>
    </row>
    <row r="668" customFormat="false" ht="15" hidden="false" customHeight="false" outlineLevel="0" collapsed="false">
      <c r="A668" s="18"/>
      <c r="C668" s="19"/>
      <c r="G668" s="20"/>
    </row>
    <row r="669" customFormat="false" ht="15" hidden="false" customHeight="false" outlineLevel="0" collapsed="false">
      <c r="A669" s="18"/>
      <c r="C669" s="19"/>
      <c r="G669" s="20"/>
    </row>
    <row r="670" customFormat="false" ht="15" hidden="false" customHeight="false" outlineLevel="0" collapsed="false">
      <c r="A670" s="18"/>
      <c r="C670" s="19"/>
      <c r="G670" s="20"/>
    </row>
    <row r="671" customFormat="false" ht="15" hidden="false" customHeight="false" outlineLevel="0" collapsed="false">
      <c r="A671" s="18"/>
      <c r="C671" s="19"/>
      <c r="G671" s="20"/>
    </row>
    <row r="672" customFormat="false" ht="15" hidden="false" customHeight="false" outlineLevel="0" collapsed="false">
      <c r="A672" s="18"/>
      <c r="C672" s="19"/>
      <c r="G672" s="20"/>
    </row>
    <row r="673" customFormat="false" ht="15" hidden="false" customHeight="false" outlineLevel="0" collapsed="false">
      <c r="A673" s="18"/>
      <c r="C673" s="19"/>
      <c r="G673" s="20"/>
    </row>
    <row r="674" customFormat="false" ht="15" hidden="false" customHeight="false" outlineLevel="0" collapsed="false">
      <c r="A674" s="18"/>
      <c r="C674" s="19"/>
      <c r="G674" s="20"/>
    </row>
    <row r="675" customFormat="false" ht="15" hidden="false" customHeight="false" outlineLevel="0" collapsed="false">
      <c r="A675" s="18"/>
      <c r="C675" s="19"/>
      <c r="G675" s="20"/>
    </row>
    <row r="676" customFormat="false" ht="15" hidden="false" customHeight="false" outlineLevel="0" collapsed="false">
      <c r="A676" s="18"/>
      <c r="C676" s="19"/>
      <c r="G676" s="20"/>
    </row>
    <row r="677" customFormat="false" ht="15" hidden="false" customHeight="false" outlineLevel="0" collapsed="false">
      <c r="A677" s="18"/>
      <c r="C677" s="19"/>
      <c r="G677" s="20"/>
    </row>
    <row r="678" customFormat="false" ht="15" hidden="false" customHeight="false" outlineLevel="0" collapsed="false">
      <c r="A678" s="18"/>
      <c r="C678" s="19"/>
      <c r="G678" s="20"/>
    </row>
    <row r="679" customFormat="false" ht="15" hidden="false" customHeight="false" outlineLevel="0" collapsed="false">
      <c r="A679" s="18"/>
      <c r="C679" s="19"/>
      <c r="G679" s="20"/>
    </row>
    <row r="680" customFormat="false" ht="15" hidden="false" customHeight="false" outlineLevel="0" collapsed="false">
      <c r="A680" s="18"/>
      <c r="C680" s="19"/>
      <c r="G680" s="20"/>
    </row>
    <row r="681" customFormat="false" ht="15" hidden="false" customHeight="false" outlineLevel="0" collapsed="false">
      <c r="A681" s="18"/>
      <c r="C681" s="19"/>
      <c r="G681" s="20"/>
    </row>
    <row r="682" customFormat="false" ht="15" hidden="false" customHeight="false" outlineLevel="0" collapsed="false">
      <c r="A682" s="18"/>
      <c r="C682" s="19"/>
      <c r="G682" s="20"/>
    </row>
    <row r="683" customFormat="false" ht="15" hidden="false" customHeight="false" outlineLevel="0" collapsed="false">
      <c r="A683" s="18"/>
      <c r="C683" s="19"/>
      <c r="G683" s="20"/>
    </row>
    <row r="684" customFormat="false" ht="15" hidden="false" customHeight="false" outlineLevel="0" collapsed="false">
      <c r="A684" s="18"/>
      <c r="C684" s="19"/>
      <c r="G684" s="20"/>
    </row>
    <row r="685" customFormat="false" ht="15" hidden="false" customHeight="false" outlineLevel="0" collapsed="false">
      <c r="A685" s="18"/>
      <c r="C685" s="19"/>
      <c r="G685" s="20"/>
    </row>
    <row r="686" customFormat="false" ht="15" hidden="false" customHeight="false" outlineLevel="0" collapsed="false">
      <c r="A686" s="18"/>
      <c r="C686" s="19"/>
      <c r="G686" s="20"/>
    </row>
    <row r="687" customFormat="false" ht="15" hidden="false" customHeight="false" outlineLevel="0" collapsed="false">
      <c r="A687" s="18"/>
      <c r="C687" s="19"/>
      <c r="G687" s="20"/>
    </row>
    <row r="688" customFormat="false" ht="15" hidden="false" customHeight="false" outlineLevel="0" collapsed="false">
      <c r="A688" s="18"/>
      <c r="C688" s="19"/>
      <c r="G688" s="20"/>
    </row>
    <row r="689" customFormat="false" ht="15" hidden="false" customHeight="false" outlineLevel="0" collapsed="false">
      <c r="A689" s="18"/>
      <c r="C689" s="19"/>
      <c r="G689" s="20"/>
    </row>
    <row r="690" customFormat="false" ht="15" hidden="false" customHeight="false" outlineLevel="0" collapsed="false">
      <c r="A690" s="18"/>
      <c r="C690" s="19"/>
      <c r="G690" s="20"/>
    </row>
    <row r="691" customFormat="false" ht="15" hidden="false" customHeight="false" outlineLevel="0" collapsed="false">
      <c r="A691" s="18"/>
      <c r="C691" s="19"/>
      <c r="G691" s="20"/>
    </row>
    <row r="692" customFormat="false" ht="15" hidden="false" customHeight="false" outlineLevel="0" collapsed="false">
      <c r="A692" s="18"/>
      <c r="C692" s="19"/>
      <c r="G692" s="20"/>
    </row>
    <row r="693" customFormat="false" ht="15" hidden="false" customHeight="false" outlineLevel="0" collapsed="false">
      <c r="A693" s="18"/>
      <c r="C693" s="19"/>
      <c r="G693" s="20"/>
    </row>
    <row r="694" customFormat="false" ht="15" hidden="false" customHeight="false" outlineLevel="0" collapsed="false">
      <c r="A694" s="18"/>
      <c r="C694" s="19"/>
      <c r="G694" s="20"/>
    </row>
    <row r="695" customFormat="false" ht="15" hidden="false" customHeight="false" outlineLevel="0" collapsed="false">
      <c r="A695" s="18"/>
      <c r="C695" s="19"/>
      <c r="G695" s="20"/>
    </row>
    <row r="696" customFormat="false" ht="15" hidden="false" customHeight="false" outlineLevel="0" collapsed="false">
      <c r="A696" s="18"/>
      <c r="C696" s="19"/>
      <c r="G696" s="20"/>
    </row>
    <row r="697" customFormat="false" ht="15" hidden="false" customHeight="false" outlineLevel="0" collapsed="false">
      <c r="A697" s="18"/>
      <c r="C697" s="19"/>
      <c r="G697" s="20"/>
    </row>
    <row r="698" customFormat="false" ht="15" hidden="false" customHeight="false" outlineLevel="0" collapsed="false">
      <c r="A698" s="18"/>
      <c r="C698" s="19"/>
      <c r="G698" s="20"/>
    </row>
    <row r="699" customFormat="false" ht="15" hidden="false" customHeight="false" outlineLevel="0" collapsed="false">
      <c r="A699" s="18"/>
      <c r="C699" s="19"/>
      <c r="G699" s="20"/>
    </row>
    <row r="700" customFormat="false" ht="15" hidden="false" customHeight="false" outlineLevel="0" collapsed="false">
      <c r="A700" s="18"/>
      <c r="C700" s="19"/>
      <c r="G700" s="20"/>
    </row>
    <row r="701" customFormat="false" ht="15" hidden="false" customHeight="false" outlineLevel="0" collapsed="false">
      <c r="A701" s="18"/>
      <c r="C701" s="19"/>
      <c r="G701" s="20"/>
    </row>
    <row r="702" customFormat="false" ht="15" hidden="false" customHeight="false" outlineLevel="0" collapsed="false">
      <c r="A702" s="18"/>
      <c r="C702" s="19"/>
      <c r="G702" s="20"/>
    </row>
    <row r="703" customFormat="false" ht="15" hidden="false" customHeight="false" outlineLevel="0" collapsed="false">
      <c r="A703" s="18"/>
      <c r="C703" s="19"/>
      <c r="G703" s="20"/>
    </row>
    <row r="704" customFormat="false" ht="15" hidden="false" customHeight="false" outlineLevel="0" collapsed="false">
      <c r="A704" s="18"/>
      <c r="C704" s="19"/>
      <c r="G704" s="20"/>
    </row>
    <row r="705" customFormat="false" ht="15" hidden="false" customHeight="false" outlineLevel="0" collapsed="false">
      <c r="A705" s="18"/>
      <c r="C705" s="19"/>
      <c r="G705" s="20"/>
    </row>
    <row r="706" customFormat="false" ht="15" hidden="false" customHeight="false" outlineLevel="0" collapsed="false">
      <c r="A706" s="18"/>
      <c r="C706" s="19"/>
      <c r="G706" s="20"/>
    </row>
    <row r="707" customFormat="false" ht="15" hidden="false" customHeight="false" outlineLevel="0" collapsed="false">
      <c r="A707" s="18"/>
      <c r="C707" s="19"/>
      <c r="G707" s="20"/>
    </row>
    <row r="708" customFormat="false" ht="15" hidden="false" customHeight="false" outlineLevel="0" collapsed="false">
      <c r="A708" s="18"/>
      <c r="C708" s="19"/>
      <c r="G708" s="20"/>
    </row>
    <row r="709" customFormat="false" ht="15" hidden="false" customHeight="false" outlineLevel="0" collapsed="false">
      <c r="A709" s="18"/>
      <c r="C709" s="19"/>
      <c r="G709" s="20"/>
    </row>
    <row r="710" customFormat="false" ht="15" hidden="false" customHeight="false" outlineLevel="0" collapsed="false">
      <c r="A710" s="18"/>
      <c r="C710" s="19"/>
      <c r="G710" s="20"/>
    </row>
    <row r="711" customFormat="false" ht="15" hidden="false" customHeight="false" outlineLevel="0" collapsed="false">
      <c r="A711" s="18"/>
      <c r="C711" s="19"/>
      <c r="G711" s="20"/>
    </row>
    <row r="712" customFormat="false" ht="15" hidden="false" customHeight="false" outlineLevel="0" collapsed="false">
      <c r="A712" s="18"/>
      <c r="C712" s="19"/>
      <c r="G712" s="20"/>
    </row>
    <row r="713" customFormat="false" ht="15" hidden="false" customHeight="false" outlineLevel="0" collapsed="false">
      <c r="A713" s="18"/>
      <c r="C713" s="19"/>
      <c r="G713" s="20"/>
    </row>
    <row r="714" customFormat="false" ht="15" hidden="false" customHeight="false" outlineLevel="0" collapsed="false">
      <c r="A714" s="18"/>
      <c r="C714" s="19"/>
      <c r="G714" s="20"/>
    </row>
    <row r="715" customFormat="false" ht="15" hidden="false" customHeight="false" outlineLevel="0" collapsed="false">
      <c r="A715" s="18"/>
      <c r="C715" s="19"/>
      <c r="G715" s="20"/>
    </row>
    <row r="716" customFormat="false" ht="15" hidden="false" customHeight="false" outlineLevel="0" collapsed="false">
      <c r="A716" s="18"/>
      <c r="C716" s="19"/>
      <c r="G716" s="20"/>
    </row>
    <row r="717" customFormat="false" ht="15" hidden="false" customHeight="false" outlineLevel="0" collapsed="false">
      <c r="A717" s="18"/>
      <c r="C717" s="19"/>
      <c r="G717" s="20"/>
    </row>
    <row r="718" customFormat="false" ht="15" hidden="false" customHeight="false" outlineLevel="0" collapsed="false">
      <c r="A718" s="18"/>
      <c r="C718" s="19"/>
      <c r="G718" s="20"/>
    </row>
    <row r="719" customFormat="false" ht="15" hidden="false" customHeight="false" outlineLevel="0" collapsed="false">
      <c r="A719" s="18"/>
      <c r="C719" s="19"/>
      <c r="G719" s="20"/>
    </row>
    <row r="720" customFormat="false" ht="15" hidden="false" customHeight="false" outlineLevel="0" collapsed="false">
      <c r="A720" s="18"/>
      <c r="C720" s="19"/>
      <c r="G720" s="20"/>
    </row>
    <row r="721" customFormat="false" ht="15" hidden="false" customHeight="false" outlineLevel="0" collapsed="false">
      <c r="A721" s="18"/>
      <c r="C721" s="19"/>
      <c r="G721" s="20"/>
    </row>
    <row r="722" customFormat="false" ht="15" hidden="false" customHeight="false" outlineLevel="0" collapsed="false">
      <c r="A722" s="18"/>
      <c r="C722" s="19"/>
      <c r="G722" s="20"/>
    </row>
    <row r="723" customFormat="false" ht="15" hidden="false" customHeight="false" outlineLevel="0" collapsed="false">
      <c r="A723" s="18"/>
      <c r="C723" s="19"/>
      <c r="G723" s="20"/>
    </row>
    <row r="724" customFormat="false" ht="15" hidden="false" customHeight="false" outlineLevel="0" collapsed="false">
      <c r="A724" s="18"/>
      <c r="C724" s="19"/>
      <c r="G724" s="20"/>
    </row>
    <row r="725" customFormat="false" ht="15" hidden="false" customHeight="false" outlineLevel="0" collapsed="false">
      <c r="A725" s="18"/>
      <c r="C725" s="19"/>
      <c r="G725" s="20"/>
    </row>
    <row r="726" customFormat="false" ht="15" hidden="false" customHeight="false" outlineLevel="0" collapsed="false">
      <c r="A726" s="18"/>
      <c r="C726" s="19"/>
      <c r="G726" s="20"/>
    </row>
    <row r="727" customFormat="false" ht="15" hidden="false" customHeight="false" outlineLevel="0" collapsed="false">
      <c r="A727" s="18"/>
      <c r="C727" s="19"/>
      <c r="G727" s="20"/>
    </row>
    <row r="728" customFormat="false" ht="15" hidden="false" customHeight="false" outlineLevel="0" collapsed="false">
      <c r="A728" s="18"/>
      <c r="C728" s="19"/>
      <c r="G728" s="20"/>
    </row>
    <row r="729" customFormat="false" ht="15" hidden="false" customHeight="false" outlineLevel="0" collapsed="false">
      <c r="A729" s="18"/>
      <c r="C729" s="19"/>
      <c r="G729" s="20"/>
    </row>
    <row r="730" customFormat="false" ht="15" hidden="false" customHeight="false" outlineLevel="0" collapsed="false">
      <c r="A730" s="18"/>
      <c r="C730" s="19"/>
      <c r="G730" s="20"/>
    </row>
    <row r="731" customFormat="false" ht="15" hidden="false" customHeight="false" outlineLevel="0" collapsed="false">
      <c r="A731" s="18"/>
      <c r="C731" s="19"/>
      <c r="G731" s="20"/>
    </row>
    <row r="732" customFormat="false" ht="15" hidden="false" customHeight="false" outlineLevel="0" collapsed="false">
      <c r="A732" s="18"/>
      <c r="C732" s="19"/>
      <c r="G732" s="20"/>
    </row>
    <row r="733" customFormat="false" ht="15" hidden="false" customHeight="false" outlineLevel="0" collapsed="false">
      <c r="A733" s="18"/>
      <c r="C733" s="19"/>
      <c r="G733" s="20"/>
    </row>
    <row r="734" customFormat="false" ht="15" hidden="false" customHeight="false" outlineLevel="0" collapsed="false">
      <c r="A734" s="18"/>
      <c r="C734" s="19"/>
      <c r="G734" s="20"/>
    </row>
    <row r="735" customFormat="false" ht="15" hidden="false" customHeight="false" outlineLevel="0" collapsed="false">
      <c r="A735" s="18"/>
      <c r="C735" s="19"/>
      <c r="G735" s="20"/>
    </row>
    <row r="736" customFormat="false" ht="15" hidden="false" customHeight="false" outlineLevel="0" collapsed="false">
      <c r="A736" s="18"/>
      <c r="C736" s="19"/>
      <c r="G736" s="20"/>
    </row>
    <row r="737" customFormat="false" ht="15" hidden="false" customHeight="false" outlineLevel="0" collapsed="false">
      <c r="A737" s="18"/>
      <c r="C737" s="19"/>
      <c r="G737" s="20"/>
    </row>
    <row r="738" customFormat="false" ht="15" hidden="false" customHeight="false" outlineLevel="0" collapsed="false">
      <c r="A738" s="18"/>
      <c r="C738" s="19"/>
      <c r="G738" s="20"/>
    </row>
    <row r="739" customFormat="false" ht="15" hidden="false" customHeight="false" outlineLevel="0" collapsed="false">
      <c r="A739" s="18"/>
      <c r="C739" s="19"/>
      <c r="G739" s="20"/>
    </row>
    <row r="740" customFormat="false" ht="15" hidden="false" customHeight="false" outlineLevel="0" collapsed="false">
      <c r="A740" s="18"/>
      <c r="C740" s="19"/>
      <c r="G740" s="20"/>
    </row>
    <row r="741" customFormat="false" ht="15" hidden="false" customHeight="false" outlineLevel="0" collapsed="false">
      <c r="A741" s="18"/>
      <c r="C741" s="19"/>
      <c r="G741" s="20"/>
    </row>
    <row r="742" customFormat="false" ht="15" hidden="false" customHeight="false" outlineLevel="0" collapsed="false">
      <c r="A742" s="18"/>
      <c r="C742" s="19"/>
      <c r="G742" s="20"/>
    </row>
    <row r="743" customFormat="false" ht="15" hidden="false" customHeight="false" outlineLevel="0" collapsed="false">
      <c r="A743" s="18"/>
      <c r="C743" s="19"/>
      <c r="G743" s="20"/>
    </row>
    <row r="744" customFormat="false" ht="15" hidden="false" customHeight="false" outlineLevel="0" collapsed="false">
      <c r="A744" s="18"/>
      <c r="C744" s="19"/>
      <c r="G744" s="20"/>
    </row>
    <row r="745" customFormat="false" ht="15" hidden="false" customHeight="false" outlineLevel="0" collapsed="false">
      <c r="A745" s="18"/>
      <c r="C745" s="19"/>
      <c r="G745" s="20"/>
    </row>
    <row r="746" customFormat="false" ht="15" hidden="false" customHeight="false" outlineLevel="0" collapsed="false">
      <c r="A746" s="18"/>
      <c r="C746" s="19"/>
      <c r="G746" s="20"/>
    </row>
    <row r="747" customFormat="false" ht="15" hidden="false" customHeight="false" outlineLevel="0" collapsed="false">
      <c r="A747" s="18"/>
      <c r="C747" s="19"/>
      <c r="G747" s="20"/>
    </row>
    <row r="748" customFormat="false" ht="15" hidden="false" customHeight="false" outlineLevel="0" collapsed="false">
      <c r="A748" s="18"/>
      <c r="C748" s="19"/>
      <c r="G748" s="20"/>
    </row>
    <row r="749" customFormat="false" ht="15" hidden="false" customHeight="false" outlineLevel="0" collapsed="false">
      <c r="A749" s="18"/>
      <c r="C749" s="19"/>
      <c r="G749" s="20"/>
    </row>
    <row r="750" customFormat="false" ht="15" hidden="false" customHeight="false" outlineLevel="0" collapsed="false">
      <c r="A750" s="18"/>
      <c r="C750" s="19"/>
      <c r="G750" s="20"/>
    </row>
    <row r="751" customFormat="false" ht="15" hidden="false" customHeight="false" outlineLevel="0" collapsed="false">
      <c r="A751" s="18"/>
      <c r="C751" s="19"/>
      <c r="G751" s="20"/>
    </row>
    <row r="752" customFormat="false" ht="15" hidden="false" customHeight="false" outlineLevel="0" collapsed="false">
      <c r="A752" s="18"/>
      <c r="C752" s="19"/>
      <c r="G752" s="20"/>
    </row>
    <row r="753" customFormat="false" ht="15" hidden="false" customHeight="false" outlineLevel="0" collapsed="false">
      <c r="A753" s="18"/>
      <c r="C753" s="19"/>
      <c r="G753" s="20"/>
    </row>
    <row r="754" customFormat="false" ht="15" hidden="false" customHeight="false" outlineLevel="0" collapsed="false">
      <c r="A754" s="18"/>
      <c r="C754" s="19"/>
      <c r="G754" s="20"/>
    </row>
    <row r="755" customFormat="false" ht="15" hidden="false" customHeight="false" outlineLevel="0" collapsed="false">
      <c r="A755" s="18"/>
      <c r="C755" s="19"/>
      <c r="G755" s="20"/>
    </row>
    <row r="756" customFormat="false" ht="15" hidden="false" customHeight="false" outlineLevel="0" collapsed="false">
      <c r="A756" s="18"/>
      <c r="C756" s="19"/>
      <c r="G756" s="20"/>
    </row>
    <row r="757" customFormat="false" ht="15" hidden="false" customHeight="false" outlineLevel="0" collapsed="false">
      <c r="A757" s="18"/>
      <c r="C757" s="19"/>
      <c r="G757" s="20"/>
    </row>
    <row r="758" customFormat="false" ht="15" hidden="false" customHeight="false" outlineLevel="0" collapsed="false">
      <c r="A758" s="18"/>
      <c r="C758" s="19"/>
      <c r="G758" s="20"/>
    </row>
    <row r="759" customFormat="false" ht="15" hidden="false" customHeight="false" outlineLevel="0" collapsed="false">
      <c r="A759" s="18"/>
      <c r="C759" s="19"/>
      <c r="G759" s="20"/>
    </row>
    <row r="760" customFormat="false" ht="15" hidden="false" customHeight="false" outlineLevel="0" collapsed="false">
      <c r="A760" s="18"/>
      <c r="C760" s="19"/>
      <c r="G760" s="20"/>
    </row>
    <row r="761" customFormat="false" ht="15" hidden="false" customHeight="false" outlineLevel="0" collapsed="false">
      <c r="A761" s="18"/>
      <c r="C761" s="19"/>
      <c r="G761" s="20"/>
    </row>
    <row r="762" customFormat="false" ht="15" hidden="false" customHeight="false" outlineLevel="0" collapsed="false">
      <c r="A762" s="18"/>
      <c r="C762" s="19"/>
      <c r="G762" s="20"/>
    </row>
    <row r="763" customFormat="false" ht="15" hidden="false" customHeight="false" outlineLevel="0" collapsed="false">
      <c r="A763" s="18"/>
      <c r="C763" s="19"/>
      <c r="G763" s="20"/>
    </row>
    <row r="764" customFormat="false" ht="15" hidden="false" customHeight="false" outlineLevel="0" collapsed="false">
      <c r="A764" s="18"/>
      <c r="C764" s="19"/>
      <c r="G764" s="20"/>
    </row>
    <row r="765" customFormat="false" ht="15" hidden="false" customHeight="false" outlineLevel="0" collapsed="false">
      <c r="A765" s="18"/>
      <c r="C765" s="19"/>
      <c r="G765" s="20"/>
    </row>
    <row r="766" customFormat="false" ht="15" hidden="false" customHeight="false" outlineLevel="0" collapsed="false">
      <c r="A766" s="18"/>
      <c r="C766" s="19"/>
      <c r="G766" s="20"/>
    </row>
    <row r="767" customFormat="false" ht="15" hidden="false" customHeight="false" outlineLevel="0" collapsed="false">
      <c r="A767" s="18"/>
      <c r="C767" s="19"/>
      <c r="G767" s="20"/>
    </row>
    <row r="768" customFormat="false" ht="15" hidden="false" customHeight="false" outlineLevel="0" collapsed="false">
      <c r="A768" s="18"/>
      <c r="C768" s="19"/>
      <c r="G768" s="20"/>
    </row>
    <row r="769" customFormat="false" ht="15" hidden="false" customHeight="false" outlineLevel="0" collapsed="false">
      <c r="A769" s="18"/>
      <c r="C769" s="19"/>
      <c r="G769" s="20"/>
    </row>
    <row r="770" customFormat="false" ht="15" hidden="false" customHeight="false" outlineLevel="0" collapsed="false">
      <c r="A770" s="18"/>
      <c r="C770" s="19"/>
      <c r="G770" s="20"/>
    </row>
    <row r="771" customFormat="false" ht="15" hidden="false" customHeight="false" outlineLevel="0" collapsed="false">
      <c r="A771" s="18"/>
      <c r="C771" s="19"/>
      <c r="G771" s="20"/>
    </row>
    <row r="772" customFormat="false" ht="15" hidden="false" customHeight="false" outlineLevel="0" collapsed="false">
      <c r="A772" s="18"/>
      <c r="C772" s="19"/>
      <c r="G772" s="20"/>
    </row>
    <row r="773" customFormat="false" ht="15" hidden="false" customHeight="false" outlineLevel="0" collapsed="false">
      <c r="A773" s="18"/>
      <c r="C773" s="19"/>
      <c r="G773" s="20"/>
    </row>
    <row r="774" customFormat="false" ht="15" hidden="false" customHeight="false" outlineLevel="0" collapsed="false">
      <c r="A774" s="18"/>
      <c r="C774" s="19"/>
      <c r="G774" s="20"/>
    </row>
    <row r="775" customFormat="false" ht="15" hidden="false" customHeight="false" outlineLevel="0" collapsed="false">
      <c r="A775" s="18"/>
      <c r="C775" s="19"/>
      <c r="G775" s="20"/>
    </row>
    <row r="776" customFormat="false" ht="15" hidden="false" customHeight="false" outlineLevel="0" collapsed="false">
      <c r="A776" s="18"/>
      <c r="C776" s="19"/>
      <c r="G776" s="20"/>
    </row>
    <row r="777" customFormat="false" ht="15" hidden="false" customHeight="false" outlineLevel="0" collapsed="false">
      <c r="A777" s="18"/>
      <c r="C777" s="19"/>
      <c r="G777" s="20"/>
    </row>
    <row r="778" customFormat="false" ht="15" hidden="false" customHeight="false" outlineLevel="0" collapsed="false">
      <c r="A778" s="18"/>
      <c r="C778" s="19"/>
      <c r="G778" s="20"/>
    </row>
    <row r="779" customFormat="false" ht="15" hidden="false" customHeight="false" outlineLevel="0" collapsed="false">
      <c r="A779" s="18"/>
      <c r="C779" s="19"/>
      <c r="G779" s="20"/>
    </row>
    <row r="780" customFormat="false" ht="15" hidden="false" customHeight="false" outlineLevel="0" collapsed="false">
      <c r="A780" s="18"/>
      <c r="C780" s="19"/>
      <c r="G780" s="20"/>
    </row>
    <row r="781" customFormat="false" ht="15" hidden="false" customHeight="false" outlineLevel="0" collapsed="false">
      <c r="A781" s="18"/>
      <c r="C781" s="19"/>
      <c r="G781" s="20"/>
    </row>
    <row r="782" customFormat="false" ht="15" hidden="false" customHeight="false" outlineLevel="0" collapsed="false">
      <c r="A782" s="18"/>
      <c r="C782" s="19"/>
      <c r="G782" s="20"/>
    </row>
    <row r="783" customFormat="false" ht="15" hidden="false" customHeight="false" outlineLevel="0" collapsed="false">
      <c r="A783" s="18"/>
      <c r="C783" s="19"/>
      <c r="G783" s="20"/>
    </row>
    <row r="784" customFormat="false" ht="15" hidden="false" customHeight="false" outlineLevel="0" collapsed="false">
      <c r="A784" s="18"/>
      <c r="C784" s="19"/>
      <c r="G784" s="20"/>
    </row>
    <row r="785" customFormat="false" ht="15" hidden="false" customHeight="false" outlineLevel="0" collapsed="false">
      <c r="A785" s="18"/>
      <c r="C785" s="19"/>
      <c r="G785" s="20"/>
    </row>
    <row r="786" customFormat="false" ht="15" hidden="false" customHeight="false" outlineLevel="0" collapsed="false">
      <c r="A786" s="18"/>
      <c r="C786" s="19"/>
      <c r="G786" s="20"/>
    </row>
    <row r="787" customFormat="false" ht="15" hidden="false" customHeight="false" outlineLevel="0" collapsed="false">
      <c r="A787" s="18"/>
      <c r="C787" s="19"/>
      <c r="G787" s="20"/>
    </row>
    <row r="788" customFormat="false" ht="15" hidden="false" customHeight="false" outlineLevel="0" collapsed="false">
      <c r="A788" s="18"/>
      <c r="C788" s="19"/>
      <c r="G788" s="20"/>
    </row>
    <row r="789" customFormat="false" ht="15" hidden="false" customHeight="false" outlineLevel="0" collapsed="false">
      <c r="A789" s="18"/>
      <c r="C789" s="19"/>
      <c r="G789" s="20"/>
    </row>
    <row r="790" customFormat="false" ht="15" hidden="false" customHeight="false" outlineLevel="0" collapsed="false">
      <c r="A790" s="18"/>
      <c r="C790" s="19"/>
      <c r="G790" s="20"/>
    </row>
    <row r="791" customFormat="false" ht="15" hidden="false" customHeight="false" outlineLevel="0" collapsed="false">
      <c r="A791" s="18"/>
      <c r="C791" s="19"/>
      <c r="G791" s="20"/>
    </row>
    <row r="792" customFormat="false" ht="15" hidden="false" customHeight="false" outlineLevel="0" collapsed="false">
      <c r="A792" s="18"/>
      <c r="C792" s="19"/>
      <c r="G792" s="20"/>
    </row>
    <row r="793" customFormat="false" ht="15" hidden="false" customHeight="false" outlineLevel="0" collapsed="false">
      <c r="A793" s="18"/>
      <c r="C793" s="19"/>
      <c r="G793" s="20"/>
    </row>
    <row r="794" customFormat="false" ht="15" hidden="false" customHeight="false" outlineLevel="0" collapsed="false">
      <c r="A794" s="18"/>
      <c r="C794" s="19"/>
      <c r="G794" s="20"/>
    </row>
    <row r="795" customFormat="false" ht="15" hidden="false" customHeight="false" outlineLevel="0" collapsed="false">
      <c r="A795" s="18"/>
      <c r="C795" s="19"/>
      <c r="G795" s="20"/>
    </row>
    <row r="796" customFormat="false" ht="15" hidden="false" customHeight="false" outlineLevel="0" collapsed="false">
      <c r="A796" s="18"/>
      <c r="C796" s="19"/>
      <c r="G796" s="20"/>
    </row>
    <row r="797" customFormat="false" ht="15" hidden="false" customHeight="false" outlineLevel="0" collapsed="false">
      <c r="A797" s="18"/>
      <c r="C797" s="19"/>
      <c r="G797" s="20"/>
    </row>
    <row r="798" customFormat="false" ht="15" hidden="false" customHeight="false" outlineLevel="0" collapsed="false">
      <c r="A798" s="18"/>
      <c r="C798" s="19"/>
      <c r="G798" s="20"/>
    </row>
    <row r="799" customFormat="false" ht="15" hidden="false" customHeight="false" outlineLevel="0" collapsed="false">
      <c r="A799" s="18"/>
      <c r="C799" s="19"/>
      <c r="G799" s="20"/>
    </row>
    <row r="800" customFormat="false" ht="15" hidden="false" customHeight="false" outlineLevel="0" collapsed="false">
      <c r="A800" s="18"/>
      <c r="C800" s="19"/>
      <c r="G800" s="20"/>
    </row>
    <row r="801" customFormat="false" ht="15" hidden="false" customHeight="false" outlineLevel="0" collapsed="false">
      <c r="A801" s="18"/>
      <c r="C801" s="19"/>
      <c r="G801" s="20"/>
    </row>
    <row r="802" customFormat="false" ht="15" hidden="false" customHeight="false" outlineLevel="0" collapsed="false">
      <c r="A802" s="18"/>
      <c r="C802" s="19"/>
      <c r="G802" s="20"/>
    </row>
    <row r="803" customFormat="false" ht="15" hidden="false" customHeight="false" outlineLevel="0" collapsed="false">
      <c r="A803" s="18"/>
      <c r="C803" s="19"/>
      <c r="G803" s="20"/>
    </row>
    <row r="804" customFormat="false" ht="15" hidden="false" customHeight="false" outlineLevel="0" collapsed="false">
      <c r="A804" s="18"/>
      <c r="C804" s="19"/>
      <c r="G804" s="20"/>
    </row>
    <row r="805" customFormat="false" ht="15" hidden="false" customHeight="false" outlineLevel="0" collapsed="false">
      <c r="A805" s="18"/>
      <c r="C805" s="19"/>
      <c r="G805" s="20"/>
    </row>
    <row r="806" customFormat="false" ht="15" hidden="false" customHeight="false" outlineLevel="0" collapsed="false">
      <c r="A806" s="18"/>
      <c r="C806" s="19"/>
      <c r="G806" s="20"/>
    </row>
    <row r="807" customFormat="false" ht="15" hidden="false" customHeight="false" outlineLevel="0" collapsed="false">
      <c r="A807" s="18"/>
      <c r="C807" s="19"/>
      <c r="G807" s="20"/>
    </row>
    <row r="808" customFormat="false" ht="15" hidden="false" customHeight="false" outlineLevel="0" collapsed="false">
      <c r="A808" s="18"/>
      <c r="C808" s="19"/>
      <c r="G808" s="20"/>
    </row>
    <row r="809" customFormat="false" ht="15" hidden="false" customHeight="false" outlineLevel="0" collapsed="false">
      <c r="A809" s="18"/>
      <c r="C809" s="19"/>
      <c r="G809" s="20"/>
    </row>
    <row r="810" customFormat="false" ht="15" hidden="false" customHeight="false" outlineLevel="0" collapsed="false">
      <c r="A810" s="18"/>
      <c r="C810" s="19"/>
      <c r="G810" s="20"/>
    </row>
    <row r="811" customFormat="false" ht="15" hidden="false" customHeight="false" outlineLevel="0" collapsed="false">
      <c r="A811" s="18"/>
      <c r="C811" s="19"/>
      <c r="G811" s="20"/>
    </row>
    <row r="812" customFormat="false" ht="15" hidden="false" customHeight="false" outlineLevel="0" collapsed="false">
      <c r="A812" s="18"/>
      <c r="C812" s="19"/>
      <c r="G812" s="20"/>
    </row>
    <row r="813" customFormat="false" ht="15" hidden="false" customHeight="false" outlineLevel="0" collapsed="false">
      <c r="A813" s="18"/>
      <c r="C813" s="19"/>
      <c r="G813" s="20"/>
    </row>
    <row r="814" customFormat="false" ht="15" hidden="false" customHeight="false" outlineLevel="0" collapsed="false">
      <c r="A814" s="18"/>
      <c r="C814" s="19"/>
      <c r="G814" s="20"/>
    </row>
    <row r="815" customFormat="false" ht="15" hidden="false" customHeight="false" outlineLevel="0" collapsed="false">
      <c r="A815" s="18"/>
      <c r="C815" s="19"/>
      <c r="G815" s="20"/>
    </row>
    <row r="816" customFormat="false" ht="15" hidden="false" customHeight="false" outlineLevel="0" collapsed="false">
      <c r="A816" s="18"/>
      <c r="C816" s="19"/>
      <c r="G816" s="20"/>
    </row>
    <row r="817" customFormat="false" ht="15" hidden="false" customHeight="false" outlineLevel="0" collapsed="false">
      <c r="A817" s="18"/>
      <c r="C817" s="19"/>
      <c r="G817" s="20"/>
    </row>
    <row r="818" customFormat="false" ht="15" hidden="false" customHeight="false" outlineLevel="0" collapsed="false">
      <c r="A818" s="18"/>
      <c r="C818" s="19"/>
      <c r="G818" s="20"/>
    </row>
    <row r="819" customFormat="false" ht="15" hidden="false" customHeight="false" outlineLevel="0" collapsed="false">
      <c r="A819" s="18"/>
      <c r="C819" s="19"/>
      <c r="G819" s="20"/>
    </row>
    <row r="820" customFormat="false" ht="15" hidden="false" customHeight="false" outlineLevel="0" collapsed="false">
      <c r="A820" s="18"/>
      <c r="C820" s="19"/>
      <c r="G820" s="20"/>
    </row>
    <row r="821" customFormat="false" ht="15" hidden="false" customHeight="false" outlineLevel="0" collapsed="false">
      <c r="A821" s="18"/>
      <c r="C821" s="19"/>
      <c r="G821" s="20"/>
    </row>
    <row r="822" customFormat="false" ht="15" hidden="false" customHeight="false" outlineLevel="0" collapsed="false">
      <c r="A822" s="18"/>
      <c r="C822" s="19"/>
      <c r="G822" s="20"/>
    </row>
    <row r="823" customFormat="false" ht="15" hidden="false" customHeight="false" outlineLevel="0" collapsed="false">
      <c r="A823" s="18"/>
      <c r="C823" s="19"/>
      <c r="G823" s="20"/>
    </row>
    <row r="824" customFormat="false" ht="15" hidden="false" customHeight="false" outlineLevel="0" collapsed="false">
      <c r="A824" s="18"/>
      <c r="C824" s="19"/>
      <c r="G824" s="20"/>
    </row>
    <row r="825" customFormat="false" ht="15" hidden="false" customHeight="false" outlineLevel="0" collapsed="false">
      <c r="A825" s="18"/>
      <c r="C825" s="19"/>
      <c r="G825" s="20"/>
    </row>
    <row r="826" customFormat="false" ht="15" hidden="false" customHeight="false" outlineLevel="0" collapsed="false">
      <c r="A826" s="18"/>
      <c r="C826" s="19"/>
      <c r="G826" s="20"/>
    </row>
    <row r="827" customFormat="false" ht="15" hidden="false" customHeight="false" outlineLevel="0" collapsed="false">
      <c r="A827" s="18"/>
      <c r="C827" s="19"/>
      <c r="G827" s="20"/>
    </row>
    <row r="828" customFormat="false" ht="15" hidden="false" customHeight="false" outlineLevel="0" collapsed="false">
      <c r="A828" s="18"/>
      <c r="C828" s="19"/>
      <c r="G828" s="20"/>
    </row>
    <row r="829" customFormat="false" ht="15" hidden="false" customHeight="false" outlineLevel="0" collapsed="false">
      <c r="A829" s="18"/>
      <c r="C829" s="19"/>
      <c r="G829" s="20"/>
    </row>
    <row r="830" customFormat="false" ht="15" hidden="false" customHeight="false" outlineLevel="0" collapsed="false">
      <c r="A830" s="18"/>
      <c r="C830" s="19"/>
      <c r="G830" s="20"/>
    </row>
    <row r="831" customFormat="false" ht="15" hidden="false" customHeight="false" outlineLevel="0" collapsed="false">
      <c r="A831" s="18"/>
      <c r="C831" s="19"/>
      <c r="G831" s="20"/>
    </row>
    <row r="832" customFormat="false" ht="15" hidden="false" customHeight="false" outlineLevel="0" collapsed="false">
      <c r="A832" s="18"/>
      <c r="C832" s="19"/>
      <c r="G832" s="20"/>
    </row>
    <row r="833" customFormat="false" ht="15" hidden="false" customHeight="false" outlineLevel="0" collapsed="false">
      <c r="A833" s="18"/>
      <c r="C833" s="19"/>
      <c r="G833" s="20"/>
    </row>
    <row r="834" customFormat="false" ht="15" hidden="false" customHeight="false" outlineLevel="0" collapsed="false">
      <c r="A834" s="18"/>
      <c r="C834" s="19"/>
      <c r="G834" s="20"/>
    </row>
    <row r="835" customFormat="false" ht="15" hidden="false" customHeight="false" outlineLevel="0" collapsed="false">
      <c r="A835" s="18"/>
      <c r="C835" s="19"/>
      <c r="G835" s="20"/>
    </row>
    <row r="836" customFormat="false" ht="15" hidden="false" customHeight="false" outlineLevel="0" collapsed="false">
      <c r="A836" s="18"/>
      <c r="C836" s="19"/>
      <c r="G836" s="20"/>
    </row>
    <row r="837" customFormat="false" ht="15" hidden="false" customHeight="false" outlineLevel="0" collapsed="false">
      <c r="A837" s="18"/>
      <c r="C837" s="19"/>
      <c r="G837" s="20"/>
    </row>
    <row r="838" customFormat="false" ht="15" hidden="false" customHeight="false" outlineLevel="0" collapsed="false">
      <c r="A838" s="18"/>
      <c r="C838" s="19"/>
      <c r="G838" s="20"/>
    </row>
    <row r="839" customFormat="false" ht="15" hidden="false" customHeight="false" outlineLevel="0" collapsed="false">
      <c r="A839" s="18"/>
      <c r="C839" s="19"/>
      <c r="G839" s="20"/>
    </row>
    <row r="840" customFormat="false" ht="15" hidden="false" customHeight="false" outlineLevel="0" collapsed="false">
      <c r="A840" s="18"/>
      <c r="C840" s="19"/>
      <c r="G840" s="20"/>
    </row>
    <row r="841" customFormat="false" ht="15" hidden="false" customHeight="false" outlineLevel="0" collapsed="false">
      <c r="A841" s="18"/>
      <c r="C841" s="19"/>
      <c r="G841" s="20"/>
    </row>
    <row r="842" customFormat="false" ht="15" hidden="false" customHeight="false" outlineLevel="0" collapsed="false">
      <c r="A842" s="18"/>
      <c r="C842" s="19"/>
      <c r="G842" s="20"/>
    </row>
    <row r="843" customFormat="false" ht="15" hidden="false" customHeight="false" outlineLevel="0" collapsed="false">
      <c r="A843" s="18"/>
      <c r="C843" s="19"/>
      <c r="G843" s="20"/>
    </row>
    <row r="844" customFormat="false" ht="15" hidden="false" customHeight="false" outlineLevel="0" collapsed="false">
      <c r="A844" s="18"/>
      <c r="C844" s="19"/>
      <c r="G844" s="20"/>
    </row>
    <row r="845" customFormat="false" ht="15" hidden="false" customHeight="false" outlineLevel="0" collapsed="false">
      <c r="A845" s="18"/>
      <c r="C845" s="19"/>
      <c r="G845" s="20"/>
    </row>
    <row r="846" customFormat="false" ht="15" hidden="false" customHeight="false" outlineLevel="0" collapsed="false">
      <c r="A846" s="18"/>
      <c r="C846" s="19"/>
      <c r="G846" s="20"/>
    </row>
    <row r="847" customFormat="false" ht="15" hidden="false" customHeight="false" outlineLevel="0" collapsed="false">
      <c r="A847" s="18"/>
      <c r="C847" s="19"/>
      <c r="G847" s="20"/>
    </row>
    <row r="848" customFormat="false" ht="15" hidden="false" customHeight="false" outlineLevel="0" collapsed="false">
      <c r="A848" s="18"/>
      <c r="C848" s="19"/>
      <c r="G848" s="20"/>
    </row>
    <row r="849" customFormat="false" ht="15" hidden="false" customHeight="false" outlineLevel="0" collapsed="false">
      <c r="A849" s="18"/>
      <c r="C849" s="19"/>
      <c r="G849" s="20"/>
    </row>
    <row r="850" customFormat="false" ht="15" hidden="false" customHeight="false" outlineLevel="0" collapsed="false">
      <c r="A850" s="18"/>
      <c r="C850" s="19"/>
      <c r="G850" s="20"/>
    </row>
    <row r="851" customFormat="false" ht="15" hidden="false" customHeight="false" outlineLevel="0" collapsed="false">
      <c r="A851" s="18"/>
      <c r="C851" s="19"/>
      <c r="G851" s="20"/>
    </row>
    <row r="852" customFormat="false" ht="15" hidden="false" customHeight="false" outlineLevel="0" collapsed="false">
      <c r="A852" s="18"/>
      <c r="C852" s="19"/>
      <c r="G852" s="20"/>
    </row>
    <row r="853" customFormat="false" ht="15" hidden="false" customHeight="false" outlineLevel="0" collapsed="false">
      <c r="A853" s="18"/>
      <c r="C853" s="19"/>
      <c r="G853" s="20"/>
    </row>
    <row r="854" customFormat="false" ht="15" hidden="false" customHeight="false" outlineLevel="0" collapsed="false">
      <c r="A854" s="18"/>
      <c r="C854" s="19"/>
      <c r="G854" s="20"/>
    </row>
    <row r="855" customFormat="false" ht="15" hidden="false" customHeight="false" outlineLevel="0" collapsed="false">
      <c r="A855" s="18"/>
      <c r="C855" s="19"/>
      <c r="G855" s="20"/>
    </row>
    <row r="856" customFormat="false" ht="15" hidden="false" customHeight="false" outlineLevel="0" collapsed="false">
      <c r="A856" s="18"/>
      <c r="C856" s="19"/>
      <c r="G856" s="20"/>
    </row>
    <row r="857" customFormat="false" ht="15" hidden="false" customHeight="false" outlineLevel="0" collapsed="false">
      <c r="A857" s="18"/>
      <c r="C857" s="19"/>
      <c r="G857" s="20"/>
    </row>
    <row r="858" customFormat="false" ht="15" hidden="false" customHeight="false" outlineLevel="0" collapsed="false">
      <c r="A858" s="18"/>
      <c r="C858" s="19"/>
      <c r="G858" s="20"/>
    </row>
    <row r="859" customFormat="false" ht="15" hidden="false" customHeight="false" outlineLevel="0" collapsed="false">
      <c r="A859" s="18"/>
      <c r="C859" s="19"/>
      <c r="G859" s="20"/>
    </row>
    <row r="860" customFormat="false" ht="15" hidden="false" customHeight="false" outlineLevel="0" collapsed="false">
      <c r="A860" s="18"/>
      <c r="C860" s="19"/>
      <c r="G860" s="20"/>
    </row>
    <row r="861" customFormat="false" ht="15" hidden="false" customHeight="false" outlineLevel="0" collapsed="false">
      <c r="A861" s="18"/>
      <c r="C861" s="19"/>
      <c r="G861" s="20"/>
    </row>
    <row r="862" customFormat="false" ht="15" hidden="false" customHeight="false" outlineLevel="0" collapsed="false">
      <c r="A862" s="18"/>
      <c r="C862" s="19"/>
      <c r="G862" s="20"/>
    </row>
    <row r="863" customFormat="false" ht="15" hidden="false" customHeight="false" outlineLevel="0" collapsed="false">
      <c r="A863" s="18"/>
      <c r="C863" s="19"/>
      <c r="G863" s="20"/>
    </row>
    <row r="864" customFormat="false" ht="15" hidden="false" customHeight="false" outlineLevel="0" collapsed="false">
      <c r="A864" s="18"/>
      <c r="C864" s="19"/>
      <c r="G864" s="20"/>
    </row>
    <row r="865" customFormat="false" ht="15" hidden="false" customHeight="false" outlineLevel="0" collapsed="false">
      <c r="A865" s="18"/>
      <c r="C865" s="19"/>
      <c r="G865" s="20"/>
    </row>
    <row r="866" customFormat="false" ht="15" hidden="false" customHeight="false" outlineLevel="0" collapsed="false">
      <c r="A866" s="18"/>
      <c r="C866" s="19"/>
      <c r="G866" s="20"/>
    </row>
    <row r="867" customFormat="false" ht="15" hidden="false" customHeight="false" outlineLevel="0" collapsed="false">
      <c r="A867" s="18"/>
      <c r="C867" s="19"/>
      <c r="G867" s="20"/>
    </row>
    <row r="868" customFormat="false" ht="15" hidden="false" customHeight="false" outlineLevel="0" collapsed="false">
      <c r="A868" s="18"/>
      <c r="C868" s="19"/>
      <c r="G868" s="20"/>
    </row>
    <row r="869" customFormat="false" ht="15" hidden="false" customHeight="false" outlineLevel="0" collapsed="false">
      <c r="A869" s="18"/>
      <c r="C869" s="19"/>
      <c r="G869" s="20"/>
    </row>
    <row r="870" customFormat="false" ht="15" hidden="false" customHeight="false" outlineLevel="0" collapsed="false">
      <c r="A870" s="18"/>
      <c r="C870" s="19"/>
      <c r="G870" s="20"/>
    </row>
    <row r="871" customFormat="false" ht="15" hidden="false" customHeight="false" outlineLevel="0" collapsed="false">
      <c r="A871" s="18"/>
      <c r="C871" s="19"/>
      <c r="G871" s="20"/>
    </row>
    <row r="872" customFormat="false" ht="15" hidden="false" customHeight="false" outlineLevel="0" collapsed="false">
      <c r="A872" s="18"/>
      <c r="C872" s="19"/>
      <c r="G872" s="20"/>
    </row>
    <row r="873" customFormat="false" ht="15" hidden="false" customHeight="false" outlineLevel="0" collapsed="false">
      <c r="A873" s="18"/>
      <c r="C873" s="19"/>
      <c r="G873" s="20"/>
    </row>
    <row r="874" customFormat="false" ht="15" hidden="false" customHeight="false" outlineLevel="0" collapsed="false">
      <c r="A874" s="18"/>
      <c r="C874" s="19"/>
      <c r="G874" s="20"/>
    </row>
    <row r="875" customFormat="false" ht="15" hidden="false" customHeight="false" outlineLevel="0" collapsed="false">
      <c r="A875" s="18"/>
      <c r="C875" s="19"/>
      <c r="G875" s="20"/>
    </row>
    <row r="876" customFormat="false" ht="15" hidden="false" customHeight="false" outlineLevel="0" collapsed="false">
      <c r="A876" s="18"/>
      <c r="C876" s="19"/>
      <c r="G876" s="20"/>
    </row>
    <row r="877" customFormat="false" ht="15" hidden="false" customHeight="false" outlineLevel="0" collapsed="false">
      <c r="A877" s="18"/>
      <c r="C877" s="19"/>
      <c r="G877" s="20"/>
    </row>
    <row r="878" customFormat="false" ht="15" hidden="false" customHeight="false" outlineLevel="0" collapsed="false">
      <c r="A878" s="18"/>
      <c r="C878" s="19"/>
      <c r="G878" s="20"/>
    </row>
    <row r="879" customFormat="false" ht="15" hidden="false" customHeight="false" outlineLevel="0" collapsed="false">
      <c r="A879" s="18"/>
      <c r="C879" s="19"/>
      <c r="G879" s="20"/>
    </row>
    <row r="880" customFormat="false" ht="15" hidden="false" customHeight="false" outlineLevel="0" collapsed="false">
      <c r="A880" s="18"/>
      <c r="C880" s="19"/>
      <c r="G880" s="20"/>
    </row>
    <row r="881" customFormat="false" ht="15" hidden="false" customHeight="false" outlineLevel="0" collapsed="false">
      <c r="A881" s="18"/>
      <c r="C881" s="19"/>
      <c r="G881" s="20"/>
    </row>
    <row r="882" customFormat="false" ht="15" hidden="false" customHeight="false" outlineLevel="0" collapsed="false">
      <c r="A882" s="18"/>
      <c r="C882" s="19"/>
      <c r="G882" s="20"/>
    </row>
    <row r="883" customFormat="false" ht="15" hidden="false" customHeight="false" outlineLevel="0" collapsed="false">
      <c r="A883" s="18"/>
      <c r="C883" s="19"/>
      <c r="G883" s="20"/>
    </row>
    <row r="884" customFormat="false" ht="15" hidden="false" customHeight="false" outlineLevel="0" collapsed="false">
      <c r="A884" s="18"/>
      <c r="C884" s="19"/>
      <c r="G884" s="20"/>
    </row>
    <row r="885" customFormat="false" ht="15" hidden="false" customHeight="false" outlineLevel="0" collapsed="false">
      <c r="A885" s="18"/>
      <c r="C885" s="19"/>
      <c r="G885" s="20"/>
    </row>
    <row r="886" customFormat="false" ht="15" hidden="false" customHeight="false" outlineLevel="0" collapsed="false">
      <c r="A886" s="18"/>
      <c r="C886" s="19"/>
      <c r="G886" s="20"/>
    </row>
    <row r="887" customFormat="false" ht="15" hidden="false" customHeight="false" outlineLevel="0" collapsed="false">
      <c r="A887" s="18"/>
      <c r="C887" s="19"/>
      <c r="G887" s="20"/>
    </row>
    <row r="888" customFormat="false" ht="15" hidden="false" customHeight="false" outlineLevel="0" collapsed="false">
      <c r="A888" s="18"/>
      <c r="C888" s="19"/>
      <c r="G888" s="20"/>
    </row>
    <row r="889" customFormat="false" ht="15" hidden="false" customHeight="false" outlineLevel="0" collapsed="false">
      <c r="A889" s="18"/>
      <c r="C889" s="19"/>
      <c r="G889" s="20"/>
    </row>
    <row r="890" customFormat="false" ht="15" hidden="false" customHeight="false" outlineLevel="0" collapsed="false">
      <c r="A890" s="18"/>
      <c r="C890" s="19"/>
      <c r="G890" s="20"/>
    </row>
    <row r="891" customFormat="false" ht="15" hidden="false" customHeight="false" outlineLevel="0" collapsed="false">
      <c r="A891" s="18"/>
      <c r="C891" s="19"/>
      <c r="G891" s="20"/>
    </row>
    <row r="892" customFormat="false" ht="15" hidden="false" customHeight="false" outlineLevel="0" collapsed="false">
      <c r="A892" s="18"/>
      <c r="C892" s="19"/>
      <c r="G892" s="20"/>
    </row>
    <row r="893" customFormat="false" ht="15" hidden="false" customHeight="false" outlineLevel="0" collapsed="false">
      <c r="A893" s="18"/>
      <c r="C893" s="19"/>
      <c r="G893" s="20"/>
    </row>
    <row r="894" customFormat="false" ht="15" hidden="false" customHeight="false" outlineLevel="0" collapsed="false">
      <c r="A894" s="18"/>
      <c r="C894" s="19"/>
      <c r="G894" s="20"/>
    </row>
    <row r="895" customFormat="false" ht="15" hidden="false" customHeight="false" outlineLevel="0" collapsed="false">
      <c r="A895" s="18"/>
      <c r="C895" s="19"/>
      <c r="G895" s="20"/>
    </row>
    <row r="896" customFormat="false" ht="15" hidden="false" customHeight="false" outlineLevel="0" collapsed="false">
      <c r="A896" s="18"/>
      <c r="C896" s="19"/>
      <c r="G896" s="20"/>
    </row>
    <row r="897" customFormat="false" ht="15" hidden="false" customHeight="false" outlineLevel="0" collapsed="false">
      <c r="A897" s="18"/>
      <c r="C897" s="19"/>
      <c r="G897" s="20"/>
    </row>
    <row r="898" customFormat="false" ht="15" hidden="false" customHeight="false" outlineLevel="0" collapsed="false">
      <c r="A898" s="18"/>
      <c r="C898" s="19"/>
      <c r="G898" s="20"/>
    </row>
    <row r="899" customFormat="false" ht="15" hidden="false" customHeight="false" outlineLevel="0" collapsed="false">
      <c r="A899" s="18"/>
      <c r="C899" s="19"/>
      <c r="G899" s="20"/>
    </row>
    <row r="900" customFormat="false" ht="15" hidden="false" customHeight="false" outlineLevel="0" collapsed="false">
      <c r="A900" s="18"/>
      <c r="C900" s="19"/>
      <c r="G900" s="20"/>
    </row>
    <row r="901" customFormat="false" ht="15" hidden="false" customHeight="false" outlineLevel="0" collapsed="false">
      <c r="A901" s="18"/>
      <c r="C901" s="19"/>
      <c r="G901" s="20"/>
    </row>
    <row r="902" customFormat="false" ht="15" hidden="false" customHeight="false" outlineLevel="0" collapsed="false">
      <c r="A902" s="18"/>
      <c r="C902" s="19"/>
      <c r="G902" s="20"/>
    </row>
    <row r="903" customFormat="false" ht="15" hidden="false" customHeight="false" outlineLevel="0" collapsed="false">
      <c r="A903" s="18"/>
      <c r="C903" s="19"/>
      <c r="G903" s="20"/>
    </row>
    <row r="904" customFormat="false" ht="15" hidden="false" customHeight="false" outlineLevel="0" collapsed="false">
      <c r="A904" s="18"/>
      <c r="C904" s="19"/>
      <c r="G904" s="20"/>
    </row>
    <row r="905" customFormat="false" ht="15" hidden="false" customHeight="false" outlineLevel="0" collapsed="false">
      <c r="A905" s="18"/>
      <c r="C905" s="19"/>
      <c r="G905" s="20"/>
    </row>
    <row r="906" customFormat="false" ht="15" hidden="false" customHeight="false" outlineLevel="0" collapsed="false">
      <c r="A906" s="18"/>
      <c r="C906" s="19"/>
      <c r="G906" s="20"/>
    </row>
    <row r="907" customFormat="false" ht="15" hidden="false" customHeight="false" outlineLevel="0" collapsed="false">
      <c r="A907" s="18"/>
      <c r="C907" s="19"/>
      <c r="G907" s="20"/>
    </row>
    <row r="908" customFormat="false" ht="15" hidden="false" customHeight="false" outlineLevel="0" collapsed="false">
      <c r="A908" s="18"/>
      <c r="C908" s="19"/>
      <c r="G908" s="20"/>
    </row>
    <row r="909" customFormat="false" ht="15" hidden="false" customHeight="false" outlineLevel="0" collapsed="false">
      <c r="A909" s="18"/>
      <c r="C909" s="19"/>
      <c r="G909" s="20"/>
    </row>
    <row r="910" customFormat="false" ht="15" hidden="false" customHeight="false" outlineLevel="0" collapsed="false">
      <c r="A910" s="18"/>
      <c r="C910" s="19"/>
      <c r="G910" s="20"/>
    </row>
    <row r="911" customFormat="false" ht="15" hidden="false" customHeight="false" outlineLevel="0" collapsed="false">
      <c r="A911" s="18"/>
      <c r="C911" s="19"/>
      <c r="G911" s="20"/>
    </row>
    <row r="912" customFormat="false" ht="15" hidden="false" customHeight="false" outlineLevel="0" collapsed="false">
      <c r="A912" s="18"/>
      <c r="C912" s="19"/>
      <c r="G912" s="20"/>
    </row>
    <row r="913" customFormat="false" ht="15" hidden="false" customHeight="false" outlineLevel="0" collapsed="false">
      <c r="A913" s="18"/>
      <c r="C913" s="19"/>
      <c r="G913" s="20"/>
    </row>
    <row r="914" customFormat="false" ht="15" hidden="false" customHeight="false" outlineLevel="0" collapsed="false">
      <c r="A914" s="18"/>
      <c r="C914" s="19"/>
      <c r="G914" s="20"/>
    </row>
    <row r="915" customFormat="false" ht="15" hidden="false" customHeight="false" outlineLevel="0" collapsed="false">
      <c r="A915" s="18"/>
      <c r="C915" s="19"/>
      <c r="G915" s="20"/>
    </row>
    <row r="916" customFormat="false" ht="15" hidden="false" customHeight="false" outlineLevel="0" collapsed="false">
      <c r="A916" s="18"/>
      <c r="C916" s="19"/>
      <c r="G916" s="20"/>
    </row>
    <row r="917" customFormat="false" ht="15" hidden="false" customHeight="false" outlineLevel="0" collapsed="false">
      <c r="A917" s="18"/>
      <c r="C917" s="19"/>
      <c r="G917" s="20"/>
    </row>
    <row r="918" customFormat="false" ht="15" hidden="false" customHeight="false" outlineLevel="0" collapsed="false">
      <c r="A918" s="18"/>
      <c r="C918" s="19"/>
      <c r="G918" s="20"/>
    </row>
    <row r="919" customFormat="false" ht="15" hidden="false" customHeight="false" outlineLevel="0" collapsed="false">
      <c r="A919" s="18"/>
      <c r="C919" s="19"/>
      <c r="G919" s="20"/>
    </row>
    <row r="920" customFormat="false" ht="15" hidden="false" customHeight="false" outlineLevel="0" collapsed="false">
      <c r="A920" s="18"/>
      <c r="C920" s="19"/>
      <c r="G920" s="20"/>
    </row>
    <row r="921" customFormat="false" ht="15" hidden="false" customHeight="false" outlineLevel="0" collapsed="false">
      <c r="A921" s="18"/>
      <c r="C921" s="19"/>
      <c r="G921" s="20"/>
    </row>
    <row r="922" customFormat="false" ht="15" hidden="false" customHeight="false" outlineLevel="0" collapsed="false">
      <c r="A922" s="18"/>
      <c r="C922" s="19"/>
      <c r="G922" s="20"/>
    </row>
    <row r="923" customFormat="false" ht="15" hidden="false" customHeight="false" outlineLevel="0" collapsed="false">
      <c r="A923" s="18"/>
      <c r="C923" s="19"/>
      <c r="G923" s="20"/>
    </row>
    <row r="924" customFormat="false" ht="15" hidden="false" customHeight="false" outlineLevel="0" collapsed="false">
      <c r="A924" s="18"/>
      <c r="C924" s="19"/>
      <c r="G924" s="20"/>
    </row>
    <row r="925" customFormat="false" ht="15" hidden="false" customHeight="false" outlineLevel="0" collapsed="false">
      <c r="A925" s="18"/>
      <c r="C925" s="19"/>
      <c r="G925" s="20"/>
    </row>
    <row r="926" customFormat="false" ht="15" hidden="false" customHeight="false" outlineLevel="0" collapsed="false">
      <c r="A926" s="18"/>
      <c r="C926" s="19"/>
      <c r="G926" s="20"/>
    </row>
    <row r="927" customFormat="false" ht="15" hidden="false" customHeight="false" outlineLevel="0" collapsed="false">
      <c r="A927" s="18"/>
      <c r="C927" s="19"/>
      <c r="G927" s="20"/>
    </row>
    <row r="928" customFormat="false" ht="15" hidden="false" customHeight="false" outlineLevel="0" collapsed="false">
      <c r="A928" s="18"/>
      <c r="C928" s="19"/>
      <c r="G928" s="20"/>
    </row>
    <row r="929" customFormat="false" ht="15" hidden="false" customHeight="false" outlineLevel="0" collapsed="false">
      <c r="A929" s="18"/>
      <c r="C929" s="19"/>
      <c r="G929" s="20"/>
    </row>
    <row r="930" customFormat="false" ht="15" hidden="false" customHeight="false" outlineLevel="0" collapsed="false">
      <c r="A930" s="18"/>
      <c r="C930" s="19"/>
      <c r="G930" s="20"/>
    </row>
    <row r="931" customFormat="false" ht="15" hidden="false" customHeight="false" outlineLevel="0" collapsed="false">
      <c r="A931" s="18"/>
      <c r="C931" s="19"/>
      <c r="G931" s="20"/>
    </row>
    <row r="932" customFormat="false" ht="15" hidden="false" customHeight="false" outlineLevel="0" collapsed="false">
      <c r="A932" s="18"/>
      <c r="C932" s="19"/>
      <c r="G932" s="20"/>
    </row>
    <row r="933" customFormat="false" ht="15" hidden="false" customHeight="false" outlineLevel="0" collapsed="false">
      <c r="A933" s="18"/>
      <c r="C933" s="19"/>
      <c r="G933" s="20"/>
    </row>
    <row r="934" customFormat="false" ht="15" hidden="false" customHeight="false" outlineLevel="0" collapsed="false">
      <c r="A934" s="18"/>
      <c r="C934" s="19"/>
      <c r="G934" s="20"/>
    </row>
    <row r="935" customFormat="false" ht="15" hidden="false" customHeight="false" outlineLevel="0" collapsed="false">
      <c r="A935" s="18"/>
      <c r="C935" s="19"/>
      <c r="G935" s="20"/>
    </row>
    <row r="936" customFormat="false" ht="15" hidden="false" customHeight="false" outlineLevel="0" collapsed="false">
      <c r="A936" s="18"/>
      <c r="C936" s="19"/>
      <c r="G936" s="20"/>
    </row>
    <row r="937" customFormat="false" ht="15" hidden="false" customHeight="false" outlineLevel="0" collapsed="false">
      <c r="A937" s="18"/>
      <c r="C937" s="19"/>
      <c r="G937" s="20"/>
    </row>
    <row r="938" customFormat="false" ht="15" hidden="false" customHeight="false" outlineLevel="0" collapsed="false">
      <c r="A938" s="18"/>
      <c r="C938" s="19"/>
      <c r="G938" s="20"/>
    </row>
    <row r="939" customFormat="false" ht="15" hidden="false" customHeight="false" outlineLevel="0" collapsed="false">
      <c r="A939" s="18"/>
      <c r="C939" s="19"/>
      <c r="G939" s="20"/>
    </row>
    <row r="940" customFormat="false" ht="15" hidden="false" customHeight="false" outlineLevel="0" collapsed="false">
      <c r="A940" s="18"/>
      <c r="C940" s="19"/>
      <c r="G940" s="20"/>
    </row>
    <row r="941" customFormat="false" ht="15" hidden="false" customHeight="false" outlineLevel="0" collapsed="false">
      <c r="A941" s="18"/>
      <c r="C941" s="19"/>
      <c r="G941" s="20"/>
    </row>
    <row r="942" customFormat="false" ht="15" hidden="false" customHeight="false" outlineLevel="0" collapsed="false">
      <c r="A942" s="18"/>
      <c r="C942" s="19"/>
      <c r="G942" s="20"/>
    </row>
    <row r="943" customFormat="false" ht="15" hidden="false" customHeight="false" outlineLevel="0" collapsed="false">
      <c r="A943" s="18"/>
      <c r="C943" s="19"/>
      <c r="G943" s="20"/>
    </row>
    <row r="944" customFormat="false" ht="15" hidden="false" customHeight="false" outlineLevel="0" collapsed="false">
      <c r="A944" s="18"/>
      <c r="C944" s="19"/>
      <c r="G944" s="20"/>
    </row>
    <row r="945" customFormat="false" ht="15" hidden="false" customHeight="false" outlineLevel="0" collapsed="false">
      <c r="A945" s="18"/>
      <c r="C945" s="19"/>
      <c r="G945" s="20"/>
    </row>
    <row r="946" customFormat="false" ht="15" hidden="false" customHeight="false" outlineLevel="0" collapsed="false">
      <c r="A946" s="18"/>
      <c r="C946" s="19"/>
      <c r="G946" s="20"/>
    </row>
    <row r="947" customFormat="false" ht="15" hidden="false" customHeight="false" outlineLevel="0" collapsed="false">
      <c r="A947" s="18"/>
      <c r="C947" s="19"/>
      <c r="G947" s="20"/>
    </row>
    <row r="948" customFormat="false" ht="15" hidden="false" customHeight="false" outlineLevel="0" collapsed="false">
      <c r="A948" s="18"/>
      <c r="C948" s="19"/>
      <c r="G948" s="20"/>
    </row>
    <row r="949" customFormat="false" ht="15" hidden="false" customHeight="false" outlineLevel="0" collapsed="false">
      <c r="A949" s="18"/>
      <c r="C949" s="19"/>
      <c r="G949" s="20"/>
    </row>
    <row r="950" customFormat="false" ht="15" hidden="false" customHeight="false" outlineLevel="0" collapsed="false">
      <c r="A950" s="18"/>
      <c r="C950" s="19"/>
      <c r="G950" s="20"/>
    </row>
    <row r="951" customFormat="false" ht="15" hidden="false" customHeight="false" outlineLevel="0" collapsed="false">
      <c r="A951" s="18"/>
      <c r="C951" s="19"/>
      <c r="G951" s="20"/>
    </row>
    <row r="952" customFormat="false" ht="15" hidden="false" customHeight="false" outlineLevel="0" collapsed="false">
      <c r="A952" s="18"/>
      <c r="C952" s="19"/>
      <c r="G952" s="20"/>
    </row>
    <row r="953" customFormat="false" ht="15" hidden="false" customHeight="false" outlineLevel="0" collapsed="false">
      <c r="A953" s="18"/>
      <c r="C953" s="19"/>
      <c r="G953" s="20"/>
    </row>
    <row r="954" customFormat="false" ht="15" hidden="false" customHeight="false" outlineLevel="0" collapsed="false">
      <c r="A954" s="18"/>
      <c r="C954" s="19"/>
      <c r="G954" s="20"/>
    </row>
    <row r="955" customFormat="false" ht="15" hidden="false" customHeight="false" outlineLevel="0" collapsed="false">
      <c r="A955" s="18"/>
      <c r="C955" s="19"/>
      <c r="G955" s="20"/>
    </row>
    <row r="956" customFormat="false" ht="15" hidden="false" customHeight="false" outlineLevel="0" collapsed="false">
      <c r="A956" s="18"/>
      <c r="C956" s="19"/>
      <c r="G956" s="20"/>
    </row>
    <row r="957" customFormat="false" ht="15" hidden="false" customHeight="false" outlineLevel="0" collapsed="false">
      <c r="A957" s="18"/>
      <c r="C957" s="19"/>
      <c r="G957" s="20"/>
    </row>
    <row r="958" customFormat="false" ht="15" hidden="false" customHeight="false" outlineLevel="0" collapsed="false">
      <c r="A958" s="18"/>
      <c r="C958" s="19"/>
      <c r="G958" s="20"/>
    </row>
    <row r="959" customFormat="false" ht="15" hidden="false" customHeight="false" outlineLevel="0" collapsed="false">
      <c r="A959" s="18"/>
      <c r="C959" s="19"/>
      <c r="G959" s="20"/>
    </row>
    <row r="960" customFormat="false" ht="15" hidden="false" customHeight="false" outlineLevel="0" collapsed="false">
      <c r="A960" s="18"/>
      <c r="C960" s="19"/>
      <c r="G960" s="20"/>
    </row>
    <row r="961" customFormat="false" ht="15" hidden="false" customHeight="false" outlineLevel="0" collapsed="false">
      <c r="A961" s="18"/>
      <c r="C961" s="19"/>
      <c r="G961" s="20"/>
    </row>
    <row r="962" customFormat="false" ht="15" hidden="false" customHeight="false" outlineLevel="0" collapsed="false">
      <c r="A962" s="18"/>
      <c r="C962" s="19"/>
      <c r="G962" s="20"/>
    </row>
    <row r="963" customFormat="false" ht="15" hidden="false" customHeight="false" outlineLevel="0" collapsed="false">
      <c r="A963" s="18"/>
      <c r="C963" s="19"/>
      <c r="G963" s="20"/>
    </row>
    <row r="964" customFormat="false" ht="15" hidden="false" customHeight="false" outlineLevel="0" collapsed="false">
      <c r="A964" s="18"/>
      <c r="C964" s="19"/>
      <c r="G964" s="20"/>
    </row>
    <row r="965" customFormat="false" ht="15" hidden="false" customHeight="false" outlineLevel="0" collapsed="false">
      <c r="A965" s="18"/>
      <c r="C965" s="19"/>
      <c r="G965" s="20"/>
    </row>
    <row r="966" customFormat="false" ht="15" hidden="false" customHeight="false" outlineLevel="0" collapsed="false">
      <c r="A966" s="18"/>
      <c r="C966" s="19"/>
      <c r="G966" s="20"/>
    </row>
    <row r="967" customFormat="false" ht="15" hidden="false" customHeight="false" outlineLevel="0" collapsed="false">
      <c r="A967" s="18"/>
      <c r="C967" s="19"/>
      <c r="G967" s="20"/>
    </row>
    <row r="968" customFormat="false" ht="15" hidden="false" customHeight="false" outlineLevel="0" collapsed="false">
      <c r="A968" s="18"/>
      <c r="C968" s="19"/>
      <c r="G968" s="20"/>
    </row>
    <row r="969" customFormat="false" ht="15" hidden="false" customHeight="false" outlineLevel="0" collapsed="false">
      <c r="A969" s="18"/>
      <c r="C969" s="19"/>
      <c r="G969" s="20"/>
    </row>
    <row r="970" customFormat="false" ht="15" hidden="false" customHeight="false" outlineLevel="0" collapsed="false">
      <c r="A970" s="18"/>
      <c r="C970" s="19"/>
      <c r="G970" s="20"/>
    </row>
    <row r="971" customFormat="false" ht="15" hidden="false" customHeight="false" outlineLevel="0" collapsed="false">
      <c r="A971" s="18"/>
      <c r="C971" s="19"/>
      <c r="G971" s="20"/>
    </row>
    <row r="972" customFormat="false" ht="15" hidden="false" customHeight="false" outlineLevel="0" collapsed="false">
      <c r="A972" s="18"/>
      <c r="C972" s="19"/>
      <c r="G972" s="20"/>
    </row>
    <row r="973" customFormat="false" ht="15" hidden="false" customHeight="false" outlineLevel="0" collapsed="false">
      <c r="A973" s="18"/>
      <c r="C973" s="19"/>
      <c r="G973" s="20"/>
    </row>
    <row r="974" customFormat="false" ht="15" hidden="false" customHeight="false" outlineLevel="0" collapsed="false">
      <c r="A974" s="18"/>
      <c r="C974" s="19"/>
      <c r="G974" s="20"/>
    </row>
    <row r="975" customFormat="false" ht="15" hidden="false" customHeight="false" outlineLevel="0" collapsed="false">
      <c r="A975" s="18"/>
      <c r="C975" s="19"/>
      <c r="G975" s="20"/>
    </row>
    <row r="976" customFormat="false" ht="15" hidden="false" customHeight="false" outlineLevel="0" collapsed="false">
      <c r="A976" s="18"/>
      <c r="C976" s="19"/>
      <c r="G976" s="20"/>
    </row>
    <row r="977" customFormat="false" ht="15" hidden="false" customHeight="false" outlineLevel="0" collapsed="false">
      <c r="A977" s="18"/>
      <c r="C977" s="19"/>
      <c r="G977" s="20"/>
    </row>
    <row r="978" customFormat="false" ht="15" hidden="false" customHeight="false" outlineLevel="0" collapsed="false">
      <c r="A978" s="18"/>
      <c r="C978" s="19"/>
      <c r="G978" s="20"/>
    </row>
    <row r="979" customFormat="false" ht="15" hidden="false" customHeight="false" outlineLevel="0" collapsed="false">
      <c r="A979" s="18"/>
      <c r="C979" s="19"/>
      <c r="G979" s="20"/>
    </row>
    <row r="980" customFormat="false" ht="15" hidden="false" customHeight="false" outlineLevel="0" collapsed="false">
      <c r="A980" s="18"/>
      <c r="C980" s="19"/>
      <c r="G980" s="20"/>
    </row>
    <row r="981" customFormat="false" ht="15" hidden="false" customHeight="false" outlineLevel="0" collapsed="false">
      <c r="A981" s="18"/>
      <c r="C981" s="19"/>
      <c r="G981" s="20"/>
    </row>
    <row r="982" customFormat="false" ht="15" hidden="false" customHeight="false" outlineLevel="0" collapsed="false">
      <c r="A982" s="18"/>
      <c r="C982" s="19"/>
      <c r="G982" s="20"/>
    </row>
    <row r="983" customFormat="false" ht="15" hidden="false" customHeight="false" outlineLevel="0" collapsed="false">
      <c r="A983" s="18"/>
      <c r="C983" s="19"/>
      <c r="G983" s="20"/>
    </row>
    <row r="984" customFormat="false" ht="15" hidden="false" customHeight="false" outlineLevel="0" collapsed="false">
      <c r="A984" s="18"/>
      <c r="C984" s="19"/>
      <c r="G984" s="20"/>
    </row>
    <row r="985" customFormat="false" ht="15" hidden="false" customHeight="false" outlineLevel="0" collapsed="false">
      <c r="A985" s="18"/>
      <c r="C985" s="19"/>
      <c r="G985" s="20"/>
    </row>
    <row r="986" customFormat="false" ht="15" hidden="false" customHeight="false" outlineLevel="0" collapsed="false">
      <c r="A986" s="18"/>
      <c r="C986" s="19"/>
      <c r="G986" s="20"/>
    </row>
    <row r="987" customFormat="false" ht="15" hidden="false" customHeight="false" outlineLevel="0" collapsed="false">
      <c r="A987" s="18"/>
      <c r="C987" s="19"/>
      <c r="G987" s="20"/>
    </row>
    <row r="988" customFormat="false" ht="15" hidden="false" customHeight="false" outlineLevel="0" collapsed="false">
      <c r="A988" s="18"/>
      <c r="C988" s="19"/>
      <c r="G988" s="20"/>
    </row>
    <row r="989" customFormat="false" ht="15" hidden="false" customHeight="false" outlineLevel="0" collapsed="false">
      <c r="A989" s="18"/>
      <c r="C989" s="19"/>
      <c r="G989" s="20"/>
    </row>
    <row r="990" customFormat="false" ht="15" hidden="false" customHeight="false" outlineLevel="0" collapsed="false">
      <c r="A990" s="18"/>
      <c r="C990" s="19"/>
      <c r="G990" s="20"/>
    </row>
    <row r="991" customFormat="false" ht="15" hidden="false" customHeight="false" outlineLevel="0" collapsed="false">
      <c r="A991" s="18"/>
      <c r="C991" s="19"/>
      <c r="G991" s="20"/>
    </row>
    <row r="992" customFormat="false" ht="15" hidden="false" customHeight="false" outlineLevel="0" collapsed="false">
      <c r="A992" s="18"/>
      <c r="C992" s="19"/>
      <c r="G992" s="20"/>
    </row>
    <row r="993" customFormat="false" ht="15" hidden="false" customHeight="false" outlineLevel="0" collapsed="false">
      <c r="A993" s="18"/>
      <c r="C993" s="19"/>
      <c r="G993" s="20"/>
    </row>
    <row r="994" customFormat="false" ht="15" hidden="false" customHeight="false" outlineLevel="0" collapsed="false">
      <c r="A994" s="18"/>
      <c r="C994" s="19"/>
      <c r="G994" s="20"/>
    </row>
    <row r="995" customFormat="false" ht="15" hidden="false" customHeight="false" outlineLevel="0" collapsed="false">
      <c r="A995" s="18"/>
      <c r="C995" s="19"/>
      <c r="G995" s="20"/>
    </row>
    <row r="996" customFormat="false" ht="15" hidden="false" customHeight="false" outlineLevel="0" collapsed="false">
      <c r="A996" s="18"/>
      <c r="C996" s="19"/>
      <c r="G996" s="20"/>
    </row>
    <row r="997" customFormat="false" ht="15" hidden="false" customHeight="false" outlineLevel="0" collapsed="false">
      <c r="A997" s="18"/>
      <c r="C997" s="19"/>
      <c r="G997" s="20"/>
    </row>
    <row r="998" customFormat="false" ht="15" hidden="false" customHeight="false" outlineLevel="0" collapsed="false">
      <c r="A998" s="18"/>
      <c r="C998" s="19"/>
      <c r="G998" s="20"/>
    </row>
    <row r="999" customFormat="false" ht="15" hidden="false" customHeight="false" outlineLevel="0" collapsed="false">
      <c r="A999" s="18"/>
      <c r="C999" s="19"/>
      <c r="G999" s="20"/>
    </row>
    <row r="1000" customFormat="false" ht="15" hidden="false" customHeight="false" outlineLevel="0" collapsed="false">
      <c r="A1000" s="18"/>
      <c r="C1000" s="19"/>
      <c r="G1000" s="20"/>
    </row>
    <row r="1001" customFormat="false" ht="15" hidden="false" customHeight="false" outlineLevel="0" collapsed="false">
      <c r="A1001" s="18"/>
      <c r="C1001" s="19"/>
      <c r="G100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</cols>
  <sheetData>
    <row r="1" customFormat="false" ht="19.5" hidden="false" customHeight="true" outlineLevel="0" collapsed="false">
      <c r="A1" s="10" t="s">
        <v>24</v>
      </c>
      <c r="B1" s="10" t="s">
        <v>46</v>
      </c>
    </row>
    <row r="2" customFormat="false" ht="15" hidden="false" customHeight="false" outlineLevel="0" collapsed="false">
      <c r="A2" s="2"/>
      <c r="B2" s="12"/>
    </row>
    <row r="3" customFormat="false" ht="15" hidden="false" customHeight="false" outlineLevel="0" collapsed="false">
      <c r="A3" s="2"/>
      <c r="B3" s="12"/>
    </row>
    <row r="4" customFormat="false" ht="15" hidden="false" customHeight="false" outlineLevel="0" collapsed="false">
      <c r="A4" s="2"/>
      <c r="B4" s="12"/>
    </row>
    <row r="5" customFormat="false" ht="15" hidden="false" customHeight="false" outlineLevel="0" collapsed="false">
      <c r="A5" s="2"/>
      <c r="B5" s="12"/>
    </row>
    <row r="6" customFormat="false" ht="15" hidden="false" customHeight="false" outlineLevel="0" collapsed="false">
      <c r="A6" s="2"/>
      <c r="B6" s="12"/>
    </row>
    <row r="7" customFormat="false" ht="15" hidden="false" customHeight="false" outlineLevel="0" collapsed="false">
      <c r="A7" s="2"/>
      <c r="B7" s="12"/>
    </row>
    <row r="8" customFormat="false" ht="15" hidden="false" customHeight="false" outlineLevel="0" collapsed="false">
      <c r="A8" s="2"/>
      <c r="B8" s="12"/>
    </row>
    <row r="9" customFormat="false" ht="15" hidden="false" customHeight="false" outlineLevel="0" collapsed="false">
      <c r="A9" s="2"/>
      <c r="B9" s="12"/>
    </row>
    <row r="10" customFormat="false" ht="15" hidden="false" customHeight="false" outlineLevel="0" collapsed="false">
      <c r="A10" s="2"/>
      <c r="B10" s="12"/>
    </row>
    <row r="11" customFormat="false" ht="15" hidden="false" customHeight="false" outlineLevel="0" collapsed="false">
      <c r="A11" s="2"/>
      <c r="B11" s="12"/>
    </row>
    <row r="12" customFormat="false" ht="15" hidden="false" customHeight="false" outlineLevel="0" collapsed="false">
      <c r="A12" s="2"/>
      <c r="B12" s="12"/>
    </row>
    <row r="13" customFormat="false" ht="15" hidden="false" customHeight="false" outlineLevel="0" collapsed="false">
      <c r="A13" s="2"/>
      <c r="B13" s="12"/>
    </row>
    <row r="14" customFormat="false" ht="15" hidden="false" customHeight="false" outlineLevel="0" collapsed="false">
      <c r="A14" s="2"/>
      <c r="B14" s="12"/>
    </row>
    <row r="15" customFormat="false" ht="15" hidden="false" customHeight="false" outlineLevel="0" collapsed="false">
      <c r="A15" s="2"/>
      <c r="B15" s="12"/>
    </row>
    <row r="16" customFormat="false" ht="15" hidden="false" customHeight="false" outlineLevel="0" collapsed="false">
      <c r="A16" s="2"/>
      <c r="B16" s="12"/>
    </row>
    <row r="17" customFormat="false" ht="15" hidden="false" customHeight="false" outlineLevel="0" collapsed="false">
      <c r="A17" s="2"/>
      <c r="B17" s="12"/>
    </row>
    <row r="18" customFormat="false" ht="15" hidden="false" customHeight="false" outlineLevel="0" collapsed="false">
      <c r="A18" s="2"/>
      <c r="B18" s="12"/>
    </row>
    <row r="19" customFormat="false" ht="15" hidden="false" customHeight="false" outlineLevel="0" collapsed="false">
      <c r="A19" s="2"/>
      <c r="B19" s="12"/>
    </row>
    <row r="20" customFormat="false" ht="15" hidden="false" customHeight="false" outlineLevel="0" collapsed="false">
      <c r="A20" s="2"/>
      <c r="B20" s="12"/>
    </row>
    <row r="21" customFormat="false" ht="15" hidden="false" customHeight="false" outlineLevel="0" collapsed="false">
      <c r="B21" s="19"/>
    </row>
    <row r="22" customFormat="false" ht="15" hidden="false" customHeight="false" outlineLevel="0" collapsed="false">
      <c r="B22" s="19"/>
    </row>
    <row r="23" customFormat="false" ht="15" hidden="false" customHeight="false" outlineLevel="0" collapsed="false">
      <c r="B23" s="19"/>
    </row>
    <row r="24" customFormat="false" ht="15" hidden="false" customHeight="false" outlineLevel="0" collapsed="false">
      <c r="B24" s="19"/>
    </row>
    <row r="25" customFormat="false" ht="15" hidden="false" customHeight="false" outlineLevel="0" collapsed="false">
      <c r="B25" s="19"/>
    </row>
    <row r="26" customFormat="false" ht="15" hidden="false" customHeight="false" outlineLevel="0" collapsed="false">
      <c r="B26" s="19"/>
    </row>
    <row r="27" customFormat="false" ht="15" hidden="false" customHeight="false" outlineLevel="0" collapsed="false">
      <c r="B27" s="19"/>
    </row>
    <row r="28" customFormat="false" ht="15" hidden="false" customHeight="false" outlineLevel="0" collapsed="false">
      <c r="B28" s="19"/>
    </row>
    <row r="29" customFormat="false" ht="15" hidden="false" customHeight="false" outlineLevel="0" collapsed="false">
      <c r="B29" s="19"/>
    </row>
    <row r="30" customFormat="false" ht="15" hidden="false" customHeight="false" outlineLevel="0" collapsed="false">
      <c r="B30" s="19"/>
    </row>
    <row r="31" customFormat="false" ht="15" hidden="false" customHeight="false" outlineLevel="0" collapsed="false">
      <c r="B31" s="19"/>
    </row>
    <row r="32" customFormat="false" ht="15" hidden="false" customHeight="false" outlineLevel="0" collapsed="false">
      <c r="B32" s="19"/>
    </row>
    <row r="33" customFormat="false" ht="15" hidden="false" customHeight="false" outlineLevel="0" collapsed="false">
      <c r="B33" s="19"/>
    </row>
    <row r="34" customFormat="false" ht="15" hidden="false" customHeight="false" outlineLevel="0" collapsed="false">
      <c r="B34" s="19"/>
    </row>
    <row r="35" customFormat="false" ht="15" hidden="false" customHeight="false" outlineLevel="0" collapsed="false">
      <c r="B35" s="19"/>
    </row>
    <row r="36" customFormat="false" ht="15" hidden="false" customHeight="false" outlineLevel="0" collapsed="false">
      <c r="B36" s="19"/>
    </row>
    <row r="37" customFormat="false" ht="15" hidden="false" customHeight="false" outlineLevel="0" collapsed="false">
      <c r="B37" s="19"/>
    </row>
    <row r="38" customFormat="false" ht="15" hidden="false" customHeight="false" outlineLevel="0" collapsed="false">
      <c r="B38" s="19"/>
    </row>
    <row r="39" customFormat="false" ht="15" hidden="false" customHeight="false" outlineLevel="0" collapsed="false">
      <c r="B39" s="19"/>
    </row>
    <row r="40" customFormat="false" ht="15" hidden="false" customHeight="false" outlineLevel="0" collapsed="false">
      <c r="B40" s="19"/>
    </row>
    <row r="41" customFormat="false" ht="15" hidden="false" customHeight="false" outlineLevel="0" collapsed="false">
      <c r="B41" s="19"/>
    </row>
    <row r="42" customFormat="false" ht="15" hidden="false" customHeight="false" outlineLevel="0" collapsed="false">
      <c r="B42" s="19"/>
    </row>
    <row r="43" customFormat="false" ht="15" hidden="false" customHeight="false" outlineLevel="0" collapsed="false">
      <c r="B43" s="19"/>
    </row>
    <row r="44" customFormat="false" ht="15" hidden="false" customHeight="false" outlineLevel="0" collapsed="false">
      <c r="B44" s="19"/>
    </row>
    <row r="45" customFormat="false" ht="15" hidden="false" customHeight="false" outlineLevel="0" collapsed="false">
      <c r="B45" s="19"/>
    </row>
    <row r="46" customFormat="false" ht="15" hidden="false" customHeight="false" outlineLevel="0" collapsed="false">
      <c r="B46" s="19"/>
    </row>
    <row r="47" customFormat="false" ht="15" hidden="false" customHeight="false" outlineLevel="0" collapsed="false">
      <c r="B47" s="19"/>
    </row>
    <row r="48" customFormat="false" ht="15" hidden="false" customHeight="false" outlineLevel="0" collapsed="false">
      <c r="B48" s="19"/>
    </row>
    <row r="49" customFormat="false" ht="15" hidden="false" customHeight="false" outlineLevel="0" collapsed="false">
      <c r="B49" s="19"/>
    </row>
    <row r="50" customFormat="false" ht="15" hidden="false" customHeight="false" outlineLevel="0" collapsed="false">
      <c r="B50" s="19"/>
    </row>
    <row r="51" customFormat="false" ht="15" hidden="false" customHeight="false" outlineLevel="0" collapsed="false">
      <c r="B51" s="19"/>
    </row>
    <row r="52" customFormat="false" ht="15" hidden="false" customHeight="false" outlineLevel="0" collapsed="false">
      <c r="B52" s="19"/>
    </row>
    <row r="53" customFormat="false" ht="15" hidden="false" customHeight="false" outlineLevel="0" collapsed="false">
      <c r="B53" s="19"/>
    </row>
    <row r="54" customFormat="false" ht="15" hidden="false" customHeight="false" outlineLevel="0" collapsed="false">
      <c r="B54" s="19"/>
    </row>
    <row r="55" customFormat="false" ht="15" hidden="false" customHeight="false" outlineLevel="0" collapsed="false">
      <c r="B55" s="19"/>
    </row>
    <row r="56" customFormat="false" ht="15" hidden="false" customHeight="false" outlineLevel="0" collapsed="false">
      <c r="B56" s="19"/>
    </row>
    <row r="57" customFormat="false" ht="15" hidden="false" customHeight="false" outlineLevel="0" collapsed="false">
      <c r="B57" s="19"/>
    </row>
    <row r="58" customFormat="false" ht="15" hidden="false" customHeight="false" outlineLevel="0" collapsed="false">
      <c r="B58" s="19"/>
    </row>
    <row r="59" customFormat="false" ht="15" hidden="false" customHeight="false" outlineLevel="0" collapsed="false">
      <c r="B59" s="19"/>
    </row>
    <row r="60" customFormat="false" ht="15" hidden="false" customHeight="false" outlineLevel="0" collapsed="false">
      <c r="B60" s="19"/>
    </row>
    <row r="61" customFormat="false" ht="15" hidden="false" customHeight="false" outlineLevel="0" collapsed="false">
      <c r="B61" s="19"/>
    </row>
    <row r="62" customFormat="false" ht="15" hidden="false" customHeight="false" outlineLevel="0" collapsed="false">
      <c r="B62" s="19"/>
    </row>
    <row r="63" customFormat="false" ht="15" hidden="false" customHeight="false" outlineLevel="0" collapsed="false">
      <c r="B63" s="19"/>
    </row>
    <row r="64" customFormat="false" ht="15" hidden="false" customHeight="false" outlineLevel="0" collapsed="false">
      <c r="B64" s="19"/>
    </row>
    <row r="65" customFormat="false" ht="15" hidden="false" customHeight="false" outlineLevel="0" collapsed="false">
      <c r="B65" s="19"/>
    </row>
    <row r="66" customFormat="false" ht="15" hidden="false" customHeight="false" outlineLevel="0" collapsed="false">
      <c r="B66" s="19"/>
    </row>
    <row r="67" customFormat="false" ht="15" hidden="false" customHeight="false" outlineLevel="0" collapsed="false">
      <c r="B67" s="19"/>
    </row>
    <row r="68" customFormat="false" ht="15" hidden="false" customHeight="false" outlineLevel="0" collapsed="false">
      <c r="B68" s="19"/>
    </row>
    <row r="69" customFormat="false" ht="15" hidden="false" customHeight="false" outlineLevel="0" collapsed="false">
      <c r="B69" s="19"/>
    </row>
    <row r="70" customFormat="false" ht="15" hidden="false" customHeight="false" outlineLevel="0" collapsed="false">
      <c r="B70" s="19"/>
    </row>
    <row r="71" customFormat="false" ht="15" hidden="false" customHeight="false" outlineLevel="0" collapsed="false">
      <c r="B71" s="19"/>
    </row>
    <row r="72" customFormat="false" ht="15" hidden="false" customHeight="false" outlineLevel="0" collapsed="false">
      <c r="B72" s="19"/>
    </row>
    <row r="73" customFormat="false" ht="15" hidden="false" customHeight="false" outlineLevel="0" collapsed="false">
      <c r="B73" s="19"/>
    </row>
    <row r="74" customFormat="false" ht="15" hidden="false" customHeight="false" outlineLevel="0" collapsed="false">
      <c r="B74" s="19"/>
    </row>
    <row r="75" customFormat="false" ht="15" hidden="false" customHeight="false" outlineLevel="0" collapsed="false">
      <c r="B75" s="19"/>
    </row>
    <row r="76" customFormat="false" ht="15" hidden="false" customHeight="false" outlineLevel="0" collapsed="false">
      <c r="B76" s="19"/>
    </row>
    <row r="77" customFormat="false" ht="15" hidden="false" customHeight="false" outlineLevel="0" collapsed="false">
      <c r="B77" s="19"/>
    </row>
    <row r="78" customFormat="false" ht="15" hidden="false" customHeight="false" outlineLevel="0" collapsed="false">
      <c r="B78" s="19"/>
    </row>
    <row r="79" customFormat="false" ht="15" hidden="false" customHeight="false" outlineLevel="0" collapsed="false">
      <c r="B79" s="19"/>
    </row>
    <row r="80" customFormat="false" ht="15" hidden="false" customHeight="false" outlineLevel="0" collapsed="false">
      <c r="B80" s="19"/>
    </row>
    <row r="81" customFormat="false" ht="15" hidden="false" customHeight="false" outlineLevel="0" collapsed="false">
      <c r="B81" s="19"/>
    </row>
    <row r="82" customFormat="false" ht="15" hidden="false" customHeight="false" outlineLevel="0" collapsed="false">
      <c r="B82" s="19"/>
    </row>
    <row r="83" customFormat="false" ht="15" hidden="false" customHeight="false" outlineLevel="0" collapsed="false">
      <c r="B83" s="19"/>
    </row>
    <row r="84" customFormat="false" ht="15" hidden="false" customHeight="false" outlineLevel="0" collapsed="false">
      <c r="B84" s="19"/>
    </row>
    <row r="85" customFormat="false" ht="15" hidden="false" customHeight="false" outlineLevel="0" collapsed="false">
      <c r="B85" s="19"/>
    </row>
    <row r="86" customFormat="false" ht="15" hidden="false" customHeight="false" outlineLevel="0" collapsed="false">
      <c r="B86" s="19"/>
    </row>
    <row r="87" customFormat="false" ht="15" hidden="false" customHeight="false" outlineLevel="0" collapsed="false">
      <c r="B87" s="19"/>
    </row>
    <row r="88" customFormat="false" ht="15" hidden="false" customHeight="false" outlineLevel="0" collapsed="false">
      <c r="B88" s="19"/>
    </row>
    <row r="89" customFormat="false" ht="15" hidden="false" customHeight="false" outlineLevel="0" collapsed="false">
      <c r="B89" s="19"/>
    </row>
    <row r="90" customFormat="false" ht="15" hidden="false" customHeight="false" outlineLevel="0" collapsed="false">
      <c r="B90" s="19"/>
    </row>
    <row r="91" customFormat="false" ht="15" hidden="false" customHeight="false" outlineLevel="0" collapsed="false">
      <c r="B91" s="19"/>
    </row>
    <row r="92" customFormat="false" ht="15" hidden="false" customHeight="false" outlineLevel="0" collapsed="false">
      <c r="B92" s="19"/>
    </row>
    <row r="93" customFormat="false" ht="15" hidden="false" customHeight="false" outlineLevel="0" collapsed="false">
      <c r="B93" s="19"/>
    </row>
    <row r="94" customFormat="false" ht="15" hidden="false" customHeight="false" outlineLevel="0" collapsed="false">
      <c r="B94" s="19"/>
    </row>
    <row r="95" customFormat="false" ht="15" hidden="false" customHeight="false" outlineLevel="0" collapsed="false">
      <c r="B95" s="19"/>
    </row>
    <row r="96" customFormat="false" ht="15" hidden="false" customHeight="false" outlineLevel="0" collapsed="false">
      <c r="B96" s="19"/>
    </row>
    <row r="97" customFormat="false" ht="15" hidden="false" customHeight="false" outlineLevel="0" collapsed="false">
      <c r="B97" s="19"/>
    </row>
    <row r="98" customFormat="false" ht="15" hidden="false" customHeight="false" outlineLevel="0" collapsed="false">
      <c r="B98" s="19"/>
    </row>
    <row r="99" customFormat="false" ht="15" hidden="false" customHeight="false" outlineLevel="0" collapsed="false">
      <c r="B99" s="19"/>
    </row>
    <row r="100" customFormat="false" ht="15" hidden="false" customHeight="false" outlineLevel="0" collapsed="false">
      <c r="B100" s="19"/>
    </row>
    <row r="101" customFormat="false" ht="15" hidden="false" customHeight="false" outlineLevel="0" collapsed="false">
      <c r="B101" s="19"/>
    </row>
    <row r="102" customFormat="false" ht="15" hidden="false" customHeight="false" outlineLevel="0" collapsed="false">
      <c r="B102" s="19"/>
    </row>
    <row r="103" customFormat="false" ht="15" hidden="false" customHeight="false" outlineLevel="0" collapsed="false">
      <c r="B103" s="19"/>
    </row>
    <row r="104" customFormat="false" ht="15" hidden="false" customHeight="false" outlineLevel="0" collapsed="false">
      <c r="B104" s="19"/>
    </row>
    <row r="105" customFormat="false" ht="15" hidden="false" customHeight="false" outlineLevel="0" collapsed="false">
      <c r="B105" s="19"/>
    </row>
    <row r="106" customFormat="false" ht="15" hidden="false" customHeight="false" outlineLevel="0" collapsed="false">
      <c r="B106" s="19"/>
    </row>
    <row r="107" customFormat="false" ht="15" hidden="false" customHeight="false" outlineLevel="0" collapsed="false">
      <c r="B107" s="19"/>
    </row>
    <row r="108" customFormat="false" ht="15" hidden="false" customHeight="false" outlineLevel="0" collapsed="false">
      <c r="B108" s="19"/>
    </row>
    <row r="109" customFormat="false" ht="15" hidden="false" customHeight="false" outlineLevel="0" collapsed="false">
      <c r="B109" s="19"/>
    </row>
    <row r="110" customFormat="false" ht="15" hidden="false" customHeight="false" outlineLevel="0" collapsed="false">
      <c r="B110" s="19"/>
    </row>
    <row r="111" customFormat="false" ht="15" hidden="false" customHeight="false" outlineLevel="0" collapsed="false">
      <c r="B111" s="19"/>
    </row>
    <row r="112" customFormat="false" ht="15" hidden="false" customHeight="false" outlineLevel="0" collapsed="false">
      <c r="B112" s="19"/>
    </row>
    <row r="113" customFormat="false" ht="15" hidden="false" customHeight="false" outlineLevel="0" collapsed="false">
      <c r="B113" s="19"/>
    </row>
    <row r="114" customFormat="false" ht="15" hidden="false" customHeight="false" outlineLevel="0" collapsed="false">
      <c r="B114" s="19"/>
    </row>
    <row r="115" customFormat="false" ht="15" hidden="false" customHeight="false" outlineLevel="0" collapsed="false">
      <c r="B115" s="19"/>
    </row>
    <row r="116" customFormat="false" ht="15" hidden="false" customHeight="false" outlineLevel="0" collapsed="false">
      <c r="B116" s="19"/>
    </row>
    <row r="117" customFormat="false" ht="15" hidden="false" customHeight="false" outlineLevel="0" collapsed="false">
      <c r="B117" s="19"/>
    </row>
    <row r="118" customFormat="false" ht="15" hidden="false" customHeight="false" outlineLevel="0" collapsed="false">
      <c r="B118" s="19"/>
    </row>
    <row r="119" customFormat="false" ht="15" hidden="false" customHeight="false" outlineLevel="0" collapsed="false">
      <c r="B119" s="19"/>
    </row>
    <row r="120" customFormat="false" ht="15" hidden="false" customHeight="false" outlineLevel="0" collapsed="false">
      <c r="B120" s="19"/>
    </row>
    <row r="121" customFormat="false" ht="15" hidden="false" customHeight="false" outlineLevel="0" collapsed="false">
      <c r="B121" s="19"/>
    </row>
    <row r="122" customFormat="false" ht="15" hidden="false" customHeight="false" outlineLevel="0" collapsed="false">
      <c r="B122" s="19"/>
    </row>
    <row r="123" customFormat="false" ht="15" hidden="false" customHeight="false" outlineLevel="0" collapsed="false">
      <c r="B123" s="19"/>
    </row>
    <row r="124" customFormat="false" ht="15" hidden="false" customHeight="false" outlineLevel="0" collapsed="false">
      <c r="B124" s="19"/>
    </row>
    <row r="125" customFormat="false" ht="15" hidden="false" customHeight="false" outlineLevel="0" collapsed="false">
      <c r="B125" s="19"/>
    </row>
    <row r="126" customFormat="false" ht="15" hidden="false" customHeight="false" outlineLevel="0" collapsed="false">
      <c r="B126" s="19"/>
    </row>
    <row r="127" customFormat="false" ht="15" hidden="false" customHeight="false" outlineLevel="0" collapsed="false">
      <c r="B127" s="19"/>
    </row>
    <row r="128" customFormat="false" ht="15" hidden="false" customHeight="false" outlineLevel="0" collapsed="false">
      <c r="B128" s="19"/>
    </row>
    <row r="129" customFormat="false" ht="15" hidden="false" customHeight="false" outlineLevel="0" collapsed="false">
      <c r="B129" s="19"/>
    </row>
    <row r="130" customFormat="false" ht="15" hidden="false" customHeight="false" outlineLevel="0" collapsed="false">
      <c r="B130" s="19"/>
    </row>
    <row r="131" customFormat="false" ht="15" hidden="false" customHeight="false" outlineLevel="0" collapsed="false">
      <c r="B131" s="19"/>
    </row>
    <row r="132" customFormat="false" ht="15" hidden="false" customHeight="false" outlineLevel="0" collapsed="false">
      <c r="B132" s="19"/>
    </row>
    <row r="133" customFormat="false" ht="15" hidden="false" customHeight="false" outlineLevel="0" collapsed="false">
      <c r="B133" s="19"/>
    </row>
    <row r="134" customFormat="false" ht="15" hidden="false" customHeight="false" outlineLevel="0" collapsed="false">
      <c r="B134" s="19"/>
    </row>
    <row r="135" customFormat="false" ht="15" hidden="false" customHeight="false" outlineLevel="0" collapsed="false">
      <c r="B135" s="19"/>
    </row>
    <row r="136" customFormat="false" ht="15" hidden="false" customHeight="false" outlineLevel="0" collapsed="false">
      <c r="B136" s="19"/>
    </row>
    <row r="137" customFormat="false" ht="15" hidden="false" customHeight="false" outlineLevel="0" collapsed="false">
      <c r="B137" s="19"/>
    </row>
    <row r="138" customFormat="false" ht="15" hidden="false" customHeight="false" outlineLevel="0" collapsed="false">
      <c r="B138" s="19"/>
    </row>
    <row r="139" customFormat="false" ht="15" hidden="false" customHeight="false" outlineLevel="0" collapsed="false">
      <c r="B139" s="19"/>
    </row>
    <row r="140" customFormat="false" ht="15" hidden="false" customHeight="false" outlineLevel="0" collapsed="false">
      <c r="B140" s="19"/>
    </row>
    <row r="141" customFormat="false" ht="15" hidden="false" customHeight="false" outlineLevel="0" collapsed="false">
      <c r="B141" s="19"/>
    </row>
    <row r="142" customFormat="false" ht="15" hidden="false" customHeight="false" outlineLevel="0" collapsed="false">
      <c r="B142" s="19"/>
    </row>
    <row r="143" customFormat="false" ht="15" hidden="false" customHeight="false" outlineLevel="0" collapsed="false">
      <c r="B143" s="19"/>
    </row>
    <row r="144" customFormat="false" ht="15" hidden="false" customHeight="false" outlineLevel="0" collapsed="false">
      <c r="B144" s="19"/>
    </row>
    <row r="145" customFormat="false" ht="15" hidden="false" customHeight="false" outlineLevel="0" collapsed="false">
      <c r="B145" s="19"/>
    </row>
    <row r="146" customFormat="false" ht="15" hidden="false" customHeight="false" outlineLevel="0" collapsed="false">
      <c r="B146" s="19"/>
    </row>
    <row r="147" customFormat="false" ht="15" hidden="false" customHeight="false" outlineLevel="0" collapsed="false">
      <c r="B147" s="19"/>
    </row>
    <row r="148" customFormat="false" ht="15" hidden="false" customHeight="false" outlineLevel="0" collapsed="false">
      <c r="B148" s="19"/>
    </row>
    <row r="149" customFormat="false" ht="15" hidden="false" customHeight="false" outlineLevel="0" collapsed="false">
      <c r="B149" s="19"/>
    </row>
    <row r="150" customFormat="false" ht="15" hidden="false" customHeight="false" outlineLevel="0" collapsed="false">
      <c r="B150" s="19"/>
    </row>
    <row r="151" customFormat="false" ht="15" hidden="false" customHeight="false" outlineLevel="0" collapsed="false">
      <c r="B151" s="19"/>
    </row>
    <row r="152" customFormat="false" ht="15" hidden="false" customHeight="false" outlineLevel="0" collapsed="false">
      <c r="B152" s="19"/>
    </row>
    <row r="153" customFormat="false" ht="15" hidden="false" customHeight="false" outlineLevel="0" collapsed="false">
      <c r="B153" s="19"/>
    </row>
    <row r="154" customFormat="false" ht="15" hidden="false" customHeight="false" outlineLevel="0" collapsed="false">
      <c r="B154" s="19"/>
    </row>
    <row r="155" customFormat="false" ht="15" hidden="false" customHeight="false" outlineLevel="0" collapsed="false">
      <c r="B155" s="19"/>
    </row>
    <row r="156" customFormat="false" ht="15" hidden="false" customHeight="false" outlineLevel="0" collapsed="false">
      <c r="B156" s="19"/>
    </row>
    <row r="157" customFormat="false" ht="15" hidden="false" customHeight="false" outlineLevel="0" collapsed="false">
      <c r="B157" s="19"/>
    </row>
    <row r="158" customFormat="false" ht="15" hidden="false" customHeight="false" outlineLevel="0" collapsed="false">
      <c r="B158" s="19"/>
    </row>
    <row r="159" customFormat="false" ht="15" hidden="false" customHeight="false" outlineLevel="0" collapsed="false">
      <c r="B159" s="19"/>
    </row>
    <row r="160" customFormat="false" ht="15" hidden="false" customHeight="false" outlineLevel="0" collapsed="false">
      <c r="B160" s="19"/>
    </row>
    <row r="161" customFormat="false" ht="15" hidden="false" customHeight="false" outlineLevel="0" collapsed="false">
      <c r="B161" s="19"/>
    </row>
    <row r="162" customFormat="false" ht="15" hidden="false" customHeight="false" outlineLevel="0" collapsed="false">
      <c r="B162" s="19"/>
    </row>
    <row r="163" customFormat="false" ht="15" hidden="false" customHeight="false" outlineLevel="0" collapsed="false">
      <c r="B163" s="19"/>
    </row>
    <row r="164" customFormat="false" ht="15" hidden="false" customHeight="false" outlineLevel="0" collapsed="false">
      <c r="B164" s="19"/>
    </row>
    <row r="165" customFormat="false" ht="15" hidden="false" customHeight="false" outlineLevel="0" collapsed="false">
      <c r="B165" s="19"/>
    </row>
    <row r="166" customFormat="false" ht="15" hidden="false" customHeight="false" outlineLevel="0" collapsed="false">
      <c r="B166" s="19"/>
    </row>
    <row r="167" customFormat="false" ht="15" hidden="false" customHeight="false" outlineLevel="0" collapsed="false">
      <c r="B167" s="19"/>
    </row>
    <row r="168" customFormat="false" ht="15" hidden="false" customHeight="false" outlineLevel="0" collapsed="false">
      <c r="B168" s="19"/>
    </row>
    <row r="169" customFormat="false" ht="15" hidden="false" customHeight="false" outlineLevel="0" collapsed="false">
      <c r="B169" s="19"/>
    </row>
    <row r="170" customFormat="false" ht="15" hidden="false" customHeight="false" outlineLevel="0" collapsed="false">
      <c r="B170" s="19"/>
    </row>
    <row r="171" customFormat="false" ht="15" hidden="false" customHeight="false" outlineLevel="0" collapsed="false">
      <c r="B171" s="19"/>
    </row>
    <row r="172" customFormat="false" ht="15" hidden="false" customHeight="false" outlineLevel="0" collapsed="false">
      <c r="B172" s="19"/>
    </row>
    <row r="173" customFormat="false" ht="15" hidden="false" customHeight="false" outlineLevel="0" collapsed="false">
      <c r="B173" s="19"/>
    </row>
    <row r="174" customFormat="false" ht="15" hidden="false" customHeight="false" outlineLevel="0" collapsed="false">
      <c r="B174" s="19"/>
    </row>
    <row r="175" customFormat="false" ht="15" hidden="false" customHeight="false" outlineLevel="0" collapsed="false">
      <c r="B175" s="19"/>
    </row>
    <row r="176" customFormat="false" ht="15" hidden="false" customHeight="false" outlineLevel="0" collapsed="false">
      <c r="B176" s="19"/>
    </row>
    <row r="177" customFormat="false" ht="15" hidden="false" customHeight="false" outlineLevel="0" collapsed="false">
      <c r="B177" s="19"/>
    </row>
    <row r="178" customFormat="false" ht="15" hidden="false" customHeight="false" outlineLevel="0" collapsed="false">
      <c r="B178" s="19"/>
    </row>
    <row r="179" customFormat="false" ht="15" hidden="false" customHeight="false" outlineLevel="0" collapsed="false">
      <c r="B179" s="19"/>
    </row>
    <row r="180" customFormat="false" ht="15" hidden="false" customHeight="false" outlineLevel="0" collapsed="false">
      <c r="B180" s="19"/>
    </row>
    <row r="181" customFormat="false" ht="15" hidden="false" customHeight="false" outlineLevel="0" collapsed="false">
      <c r="B181" s="19"/>
    </row>
    <row r="182" customFormat="false" ht="15" hidden="false" customHeight="false" outlineLevel="0" collapsed="false">
      <c r="B182" s="19"/>
    </row>
    <row r="183" customFormat="false" ht="15" hidden="false" customHeight="false" outlineLevel="0" collapsed="false">
      <c r="B183" s="19"/>
    </row>
    <row r="184" customFormat="false" ht="15" hidden="false" customHeight="false" outlineLevel="0" collapsed="false">
      <c r="B184" s="19"/>
    </row>
    <row r="185" customFormat="false" ht="15" hidden="false" customHeight="false" outlineLevel="0" collapsed="false">
      <c r="B185" s="19"/>
    </row>
    <row r="186" customFormat="false" ht="15" hidden="false" customHeight="false" outlineLevel="0" collapsed="false">
      <c r="B186" s="19"/>
    </row>
    <row r="187" customFormat="false" ht="15" hidden="false" customHeight="false" outlineLevel="0" collapsed="false">
      <c r="B187" s="19"/>
    </row>
    <row r="188" customFormat="false" ht="15" hidden="false" customHeight="false" outlineLevel="0" collapsed="false">
      <c r="B188" s="19"/>
    </row>
    <row r="189" customFormat="false" ht="15" hidden="false" customHeight="false" outlineLevel="0" collapsed="false">
      <c r="B189" s="19"/>
    </row>
    <row r="190" customFormat="false" ht="15" hidden="false" customHeight="false" outlineLevel="0" collapsed="false">
      <c r="B190" s="19"/>
    </row>
    <row r="191" customFormat="false" ht="15" hidden="false" customHeight="false" outlineLevel="0" collapsed="false">
      <c r="B191" s="19"/>
    </row>
    <row r="192" customFormat="false" ht="15" hidden="false" customHeight="false" outlineLevel="0" collapsed="false">
      <c r="B192" s="19"/>
    </row>
    <row r="193" customFormat="false" ht="15" hidden="false" customHeight="false" outlineLevel="0" collapsed="false">
      <c r="B193" s="19"/>
    </row>
    <row r="194" customFormat="false" ht="15" hidden="false" customHeight="false" outlineLevel="0" collapsed="false">
      <c r="B194" s="19"/>
    </row>
    <row r="195" customFormat="false" ht="15" hidden="false" customHeight="false" outlineLevel="0" collapsed="false">
      <c r="B195" s="19"/>
    </row>
    <row r="196" customFormat="false" ht="15" hidden="false" customHeight="false" outlineLevel="0" collapsed="false">
      <c r="B196" s="19"/>
    </row>
    <row r="197" customFormat="false" ht="15" hidden="false" customHeight="false" outlineLevel="0" collapsed="false">
      <c r="B197" s="19"/>
    </row>
    <row r="198" customFormat="false" ht="15" hidden="false" customHeight="false" outlineLevel="0" collapsed="false">
      <c r="B198" s="19"/>
    </row>
    <row r="199" customFormat="false" ht="15" hidden="false" customHeight="false" outlineLevel="0" collapsed="false">
      <c r="B199" s="19"/>
    </row>
    <row r="200" customFormat="false" ht="15" hidden="false" customHeight="false" outlineLevel="0" collapsed="false">
      <c r="B200" s="19"/>
    </row>
    <row r="201" customFormat="false" ht="15" hidden="false" customHeight="false" outlineLevel="0" collapsed="false">
      <c r="B201" s="19"/>
    </row>
    <row r="202" customFormat="false" ht="15" hidden="false" customHeight="false" outlineLevel="0" collapsed="false">
      <c r="B202" s="19"/>
    </row>
    <row r="203" customFormat="false" ht="15" hidden="false" customHeight="false" outlineLevel="0" collapsed="false">
      <c r="B203" s="19"/>
    </row>
    <row r="204" customFormat="false" ht="15" hidden="false" customHeight="false" outlineLevel="0" collapsed="false">
      <c r="B204" s="19"/>
    </row>
    <row r="205" customFormat="false" ht="15" hidden="false" customHeight="false" outlineLevel="0" collapsed="false">
      <c r="B205" s="19"/>
    </row>
    <row r="206" customFormat="false" ht="15" hidden="false" customHeight="false" outlineLevel="0" collapsed="false">
      <c r="B206" s="19"/>
    </row>
    <row r="207" customFormat="false" ht="15" hidden="false" customHeight="false" outlineLevel="0" collapsed="false">
      <c r="B207" s="19"/>
    </row>
    <row r="208" customFormat="false" ht="15" hidden="false" customHeight="false" outlineLevel="0" collapsed="false">
      <c r="B208" s="19"/>
    </row>
    <row r="209" customFormat="false" ht="15" hidden="false" customHeight="false" outlineLevel="0" collapsed="false">
      <c r="B209" s="19"/>
    </row>
    <row r="210" customFormat="false" ht="15" hidden="false" customHeight="false" outlineLevel="0" collapsed="false">
      <c r="B210" s="19"/>
    </row>
    <row r="211" customFormat="false" ht="15" hidden="false" customHeight="false" outlineLevel="0" collapsed="false">
      <c r="B211" s="19"/>
    </row>
    <row r="212" customFormat="false" ht="15" hidden="false" customHeight="false" outlineLevel="0" collapsed="false">
      <c r="B212" s="19"/>
    </row>
    <row r="213" customFormat="false" ht="15" hidden="false" customHeight="false" outlineLevel="0" collapsed="false">
      <c r="B213" s="19"/>
    </row>
    <row r="214" customFormat="false" ht="15" hidden="false" customHeight="false" outlineLevel="0" collapsed="false">
      <c r="B214" s="19"/>
    </row>
    <row r="215" customFormat="false" ht="15" hidden="false" customHeight="false" outlineLevel="0" collapsed="false">
      <c r="B215" s="19"/>
    </row>
    <row r="216" customFormat="false" ht="15" hidden="false" customHeight="false" outlineLevel="0" collapsed="false">
      <c r="B216" s="19"/>
    </row>
    <row r="217" customFormat="false" ht="15" hidden="false" customHeight="false" outlineLevel="0" collapsed="false">
      <c r="B217" s="19"/>
    </row>
    <row r="218" customFormat="false" ht="15" hidden="false" customHeight="false" outlineLevel="0" collapsed="false">
      <c r="B218" s="19"/>
    </row>
    <row r="219" customFormat="false" ht="15" hidden="false" customHeight="false" outlineLevel="0" collapsed="false">
      <c r="B219" s="19"/>
    </row>
    <row r="220" customFormat="false" ht="15" hidden="false" customHeight="false" outlineLevel="0" collapsed="false">
      <c r="B220" s="19"/>
    </row>
    <row r="221" customFormat="false" ht="15" hidden="false" customHeight="false" outlineLevel="0" collapsed="false">
      <c r="B221" s="19"/>
    </row>
    <row r="222" customFormat="false" ht="15" hidden="false" customHeight="false" outlineLevel="0" collapsed="false">
      <c r="B222" s="19"/>
    </row>
    <row r="223" customFormat="false" ht="15" hidden="false" customHeight="false" outlineLevel="0" collapsed="false">
      <c r="B223" s="19"/>
    </row>
    <row r="224" customFormat="false" ht="15" hidden="false" customHeight="false" outlineLevel="0" collapsed="false">
      <c r="B224" s="19"/>
    </row>
    <row r="225" customFormat="false" ht="15" hidden="false" customHeight="false" outlineLevel="0" collapsed="false">
      <c r="B225" s="19"/>
    </row>
    <row r="226" customFormat="false" ht="15" hidden="false" customHeight="false" outlineLevel="0" collapsed="false">
      <c r="B226" s="19"/>
    </row>
    <row r="227" customFormat="false" ht="15" hidden="false" customHeight="false" outlineLevel="0" collapsed="false">
      <c r="B227" s="19"/>
    </row>
    <row r="228" customFormat="false" ht="15" hidden="false" customHeight="false" outlineLevel="0" collapsed="false">
      <c r="B228" s="19"/>
    </row>
    <row r="229" customFormat="false" ht="15" hidden="false" customHeight="false" outlineLevel="0" collapsed="false">
      <c r="B229" s="19"/>
    </row>
    <row r="230" customFormat="false" ht="15" hidden="false" customHeight="false" outlineLevel="0" collapsed="false">
      <c r="B230" s="19"/>
    </row>
    <row r="231" customFormat="false" ht="15" hidden="false" customHeight="false" outlineLevel="0" collapsed="false">
      <c r="B231" s="19"/>
    </row>
    <row r="232" customFormat="false" ht="15" hidden="false" customHeight="false" outlineLevel="0" collapsed="false">
      <c r="B232" s="19"/>
    </row>
    <row r="233" customFormat="false" ht="15" hidden="false" customHeight="false" outlineLevel="0" collapsed="false">
      <c r="B233" s="19"/>
    </row>
    <row r="234" customFormat="false" ht="15" hidden="false" customHeight="false" outlineLevel="0" collapsed="false">
      <c r="B234" s="19"/>
    </row>
    <row r="235" customFormat="false" ht="15" hidden="false" customHeight="false" outlineLevel="0" collapsed="false">
      <c r="B235" s="19"/>
    </row>
    <row r="236" customFormat="false" ht="15" hidden="false" customHeight="false" outlineLevel="0" collapsed="false">
      <c r="B236" s="19"/>
    </row>
    <row r="237" customFormat="false" ht="15" hidden="false" customHeight="false" outlineLevel="0" collapsed="false">
      <c r="B237" s="19"/>
    </row>
    <row r="238" customFormat="false" ht="15" hidden="false" customHeight="false" outlineLevel="0" collapsed="false">
      <c r="B238" s="19"/>
    </row>
    <row r="239" customFormat="false" ht="15" hidden="false" customHeight="false" outlineLevel="0" collapsed="false">
      <c r="B239" s="19"/>
    </row>
    <row r="240" customFormat="false" ht="15" hidden="false" customHeight="false" outlineLevel="0" collapsed="false">
      <c r="B240" s="19"/>
    </row>
    <row r="241" customFormat="false" ht="15" hidden="false" customHeight="false" outlineLevel="0" collapsed="false">
      <c r="B241" s="19"/>
    </row>
    <row r="242" customFormat="false" ht="15" hidden="false" customHeight="false" outlineLevel="0" collapsed="false">
      <c r="B242" s="19"/>
    </row>
    <row r="243" customFormat="false" ht="15" hidden="false" customHeight="false" outlineLevel="0" collapsed="false">
      <c r="B243" s="19"/>
    </row>
    <row r="244" customFormat="false" ht="15" hidden="false" customHeight="false" outlineLevel="0" collapsed="false">
      <c r="B244" s="19"/>
    </row>
    <row r="245" customFormat="false" ht="15" hidden="false" customHeight="false" outlineLevel="0" collapsed="false">
      <c r="B245" s="19"/>
    </row>
    <row r="246" customFormat="false" ht="15" hidden="false" customHeight="false" outlineLevel="0" collapsed="false">
      <c r="B246" s="19"/>
    </row>
    <row r="247" customFormat="false" ht="15" hidden="false" customHeight="false" outlineLevel="0" collapsed="false">
      <c r="B247" s="19"/>
    </row>
    <row r="248" customFormat="false" ht="15" hidden="false" customHeight="false" outlineLevel="0" collapsed="false">
      <c r="B248" s="19"/>
    </row>
    <row r="249" customFormat="false" ht="15" hidden="false" customHeight="false" outlineLevel="0" collapsed="false">
      <c r="B249" s="19"/>
    </row>
    <row r="250" customFormat="false" ht="15" hidden="false" customHeight="false" outlineLevel="0" collapsed="false">
      <c r="B250" s="19"/>
    </row>
    <row r="251" customFormat="false" ht="15" hidden="false" customHeight="false" outlineLevel="0" collapsed="false">
      <c r="B251" s="19"/>
    </row>
    <row r="252" customFormat="false" ht="15" hidden="false" customHeight="false" outlineLevel="0" collapsed="false">
      <c r="B252" s="19"/>
    </row>
    <row r="253" customFormat="false" ht="15" hidden="false" customHeight="false" outlineLevel="0" collapsed="false">
      <c r="B253" s="19"/>
    </row>
    <row r="254" customFormat="false" ht="15" hidden="false" customHeight="false" outlineLevel="0" collapsed="false">
      <c r="B254" s="19"/>
    </row>
    <row r="255" customFormat="false" ht="15" hidden="false" customHeight="false" outlineLevel="0" collapsed="false">
      <c r="B255" s="19"/>
    </row>
    <row r="256" customFormat="false" ht="15" hidden="false" customHeight="false" outlineLevel="0" collapsed="false">
      <c r="B256" s="19"/>
    </row>
    <row r="257" customFormat="false" ht="15" hidden="false" customHeight="false" outlineLevel="0" collapsed="false">
      <c r="B257" s="19"/>
    </row>
    <row r="258" customFormat="false" ht="15" hidden="false" customHeight="false" outlineLevel="0" collapsed="false">
      <c r="B258" s="19"/>
    </row>
    <row r="259" customFormat="false" ht="15" hidden="false" customHeight="false" outlineLevel="0" collapsed="false">
      <c r="B259" s="19"/>
    </row>
    <row r="260" customFormat="false" ht="15" hidden="false" customHeight="false" outlineLevel="0" collapsed="false">
      <c r="B260" s="19"/>
    </row>
    <row r="261" customFormat="false" ht="15" hidden="false" customHeight="false" outlineLevel="0" collapsed="false">
      <c r="B261" s="19"/>
    </row>
    <row r="262" customFormat="false" ht="15" hidden="false" customHeight="false" outlineLevel="0" collapsed="false">
      <c r="B262" s="19"/>
    </row>
    <row r="263" customFormat="false" ht="15" hidden="false" customHeight="false" outlineLevel="0" collapsed="false">
      <c r="B263" s="19"/>
    </row>
    <row r="264" customFormat="false" ht="15" hidden="false" customHeight="false" outlineLevel="0" collapsed="false">
      <c r="B264" s="19"/>
    </row>
    <row r="265" customFormat="false" ht="15" hidden="false" customHeight="false" outlineLevel="0" collapsed="false">
      <c r="B265" s="19"/>
    </row>
    <row r="266" customFormat="false" ht="15" hidden="false" customHeight="false" outlineLevel="0" collapsed="false">
      <c r="B266" s="19"/>
    </row>
    <row r="267" customFormat="false" ht="15" hidden="false" customHeight="false" outlineLevel="0" collapsed="false">
      <c r="B267" s="19"/>
    </row>
    <row r="268" customFormat="false" ht="15" hidden="false" customHeight="false" outlineLevel="0" collapsed="false">
      <c r="B268" s="19"/>
    </row>
    <row r="269" customFormat="false" ht="15" hidden="false" customHeight="false" outlineLevel="0" collapsed="false">
      <c r="B269" s="19"/>
    </row>
    <row r="270" customFormat="false" ht="15" hidden="false" customHeight="false" outlineLevel="0" collapsed="false">
      <c r="B270" s="19"/>
    </row>
    <row r="271" customFormat="false" ht="15" hidden="false" customHeight="false" outlineLevel="0" collapsed="false">
      <c r="B271" s="19"/>
    </row>
    <row r="272" customFormat="false" ht="15" hidden="false" customHeight="false" outlineLevel="0" collapsed="false">
      <c r="B272" s="19"/>
    </row>
    <row r="273" customFormat="false" ht="15" hidden="false" customHeight="false" outlineLevel="0" collapsed="false">
      <c r="B273" s="19"/>
    </row>
    <row r="274" customFormat="false" ht="15" hidden="false" customHeight="false" outlineLevel="0" collapsed="false">
      <c r="B274" s="19"/>
    </row>
    <row r="275" customFormat="false" ht="15" hidden="false" customHeight="false" outlineLevel="0" collapsed="false">
      <c r="B275" s="19"/>
    </row>
    <row r="276" customFormat="false" ht="15" hidden="false" customHeight="false" outlineLevel="0" collapsed="false">
      <c r="B276" s="19"/>
    </row>
    <row r="277" customFormat="false" ht="15" hidden="false" customHeight="false" outlineLevel="0" collapsed="false">
      <c r="B277" s="19"/>
    </row>
    <row r="278" customFormat="false" ht="15" hidden="false" customHeight="false" outlineLevel="0" collapsed="false">
      <c r="B278" s="19"/>
    </row>
    <row r="279" customFormat="false" ht="15" hidden="false" customHeight="false" outlineLevel="0" collapsed="false">
      <c r="B279" s="19"/>
    </row>
    <row r="280" customFormat="false" ht="15" hidden="false" customHeight="false" outlineLevel="0" collapsed="false">
      <c r="B280" s="19"/>
    </row>
    <row r="281" customFormat="false" ht="15" hidden="false" customHeight="false" outlineLevel="0" collapsed="false">
      <c r="B281" s="19"/>
    </row>
    <row r="282" customFormat="false" ht="15" hidden="false" customHeight="false" outlineLevel="0" collapsed="false">
      <c r="B282" s="19"/>
    </row>
    <row r="283" customFormat="false" ht="15" hidden="false" customHeight="false" outlineLevel="0" collapsed="false">
      <c r="B283" s="19"/>
    </row>
    <row r="284" customFormat="false" ht="15" hidden="false" customHeight="false" outlineLevel="0" collapsed="false">
      <c r="B284" s="19"/>
    </row>
    <row r="285" customFormat="false" ht="15" hidden="false" customHeight="false" outlineLevel="0" collapsed="false">
      <c r="B285" s="19"/>
    </row>
    <row r="286" customFormat="false" ht="15" hidden="false" customHeight="false" outlineLevel="0" collapsed="false">
      <c r="B286" s="19"/>
    </row>
    <row r="287" customFormat="false" ht="15" hidden="false" customHeight="false" outlineLevel="0" collapsed="false">
      <c r="B287" s="19"/>
    </row>
    <row r="288" customFormat="false" ht="15" hidden="false" customHeight="false" outlineLevel="0" collapsed="false">
      <c r="B288" s="19"/>
    </row>
    <row r="289" customFormat="false" ht="15" hidden="false" customHeight="false" outlineLevel="0" collapsed="false">
      <c r="B289" s="19"/>
    </row>
    <row r="290" customFormat="false" ht="15" hidden="false" customHeight="false" outlineLevel="0" collapsed="false">
      <c r="B290" s="19"/>
    </row>
    <row r="291" customFormat="false" ht="15" hidden="false" customHeight="false" outlineLevel="0" collapsed="false">
      <c r="B291" s="19"/>
    </row>
    <row r="292" customFormat="false" ht="15" hidden="false" customHeight="false" outlineLevel="0" collapsed="false">
      <c r="B292" s="19"/>
    </row>
    <row r="293" customFormat="false" ht="15" hidden="false" customHeight="false" outlineLevel="0" collapsed="false">
      <c r="B293" s="19"/>
    </row>
    <row r="294" customFormat="false" ht="15" hidden="false" customHeight="false" outlineLevel="0" collapsed="false">
      <c r="B294" s="19"/>
    </row>
    <row r="295" customFormat="false" ht="15" hidden="false" customHeight="false" outlineLevel="0" collapsed="false">
      <c r="B295" s="19"/>
    </row>
    <row r="296" customFormat="false" ht="15" hidden="false" customHeight="false" outlineLevel="0" collapsed="false">
      <c r="B296" s="19"/>
    </row>
    <row r="297" customFormat="false" ht="15" hidden="false" customHeight="false" outlineLevel="0" collapsed="false">
      <c r="B297" s="19"/>
    </row>
    <row r="298" customFormat="false" ht="15" hidden="false" customHeight="false" outlineLevel="0" collapsed="false">
      <c r="B298" s="19"/>
    </row>
    <row r="299" customFormat="false" ht="15" hidden="false" customHeight="false" outlineLevel="0" collapsed="false">
      <c r="B299" s="19"/>
    </row>
    <row r="300" customFormat="false" ht="15" hidden="false" customHeight="false" outlineLevel="0" collapsed="false">
      <c r="B300" s="19"/>
    </row>
    <row r="301" customFormat="false" ht="15" hidden="false" customHeight="false" outlineLevel="0" collapsed="false">
      <c r="B301" s="19"/>
    </row>
    <row r="302" customFormat="false" ht="15" hidden="false" customHeight="false" outlineLevel="0" collapsed="false">
      <c r="B302" s="19"/>
    </row>
    <row r="303" customFormat="false" ht="15" hidden="false" customHeight="false" outlineLevel="0" collapsed="false">
      <c r="B303" s="19"/>
    </row>
    <row r="304" customFormat="false" ht="15" hidden="false" customHeight="false" outlineLevel="0" collapsed="false">
      <c r="B304" s="19"/>
    </row>
    <row r="305" customFormat="false" ht="15" hidden="false" customHeight="false" outlineLevel="0" collapsed="false">
      <c r="B305" s="19"/>
    </row>
    <row r="306" customFormat="false" ht="15" hidden="false" customHeight="false" outlineLevel="0" collapsed="false">
      <c r="B306" s="19"/>
    </row>
    <row r="307" customFormat="false" ht="15" hidden="false" customHeight="false" outlineLevel="0" collapsed="false">
      <c r="B307" s="19"/>
    </row>
    <row r="308" customFormat="false" ht="15" hidden="false" customHeight="false" outlineLevel="0" collapsed="false">
      <c r="B308" s="19"/>
    </row>
    <row r="309" customFormat="false" ht="15" hidden="false" customHeight="false" outlineLevel="0" collapsed="false">
      <c r="B309" s="19"/>
    </row>
    <row r="310" customFormat="false" ht="15" hidden="false" customHeight="false" outlineLevel="0" collapsed="false">
      <c r="B310" s="19"/>
    </row>
    <row r="311" customFormat="false" ht="15" hidden="false" customHeight="false" outlineLevel="0" collapsed="false">
      <c r="B311" s="19"/>
    </row>
    <row r="312" customFormat="false" ht="15" hidden="false" customHeight="false" outlineLevel="0" collapsed="false">
      <c r="B312" s="19"/>
    </row>
    <row r="313" customFormat="false" ht="15" hidden="false" customHeight="false" outlineLevel="0" collapsed="false">
      <c r="B313" s="19"/>
    </row>
    <row r="314" customFormat="false" ht="15" hidden="false" customHeight="false" outlineLevel="0" collapsed="false">
      <c r="B314" s="19"/>
    </row>
    <row r="315" customFormat="false" ht="15" hidden="false" customHeight="false" outlineLevel="0" collapsed="false">
      <c r="B315" s="19"/>
    </row>
    <row r="316" customFormat="false" ht="15" hidden="false" customHeight="false" outlineLevel="0" collapsed="false">
      <c r="B316" s="19"/>
    </row>
    <row r="317" customFormat="false" ht="15" hidden="false" customHeight="false" outlineLevel="0" collapsed="false">
      <c r="B317" s="19"/>
    </row>
    <row r="318" customFormat="false" ht="15" hidden="false" customHeight="false" outlineLevel="0" collapsed="false">
      <c r="B318" s="19"/>
    </row>
    <row r="319" customFormat="false" ht="15" hidden="false" customHeight="false" outlineLevel="0" collapsed="false">
      <c r="B319" s="19"/>
    </row>
    <row r="320" customFormat="false" ht="15" hidden="false" customHeight="false" outlineLevel="0" collapsed="false">
      <c r="B320" s="19"/>
    </row>
    <row r="321" customFormat="false" ht="15" hidden="false" customHeight="false" outlineLevel="0" collapsed="false">
      <c r="B321" s="19"/>
    </row>
    <row r="322" customFormat="false" ht="15" hidden="false" customHeight="false" outlineLevel="0" collapsed="false">
      <c r="B322" s="19"/>
    </row>
    <row r="323" customFormat="false" ht="15" hidden="false" customHeight="false" outlineLevel="0" collapsed="false">
      <c r="B323" s="19"/>
    </row>
    <row r="324" customFormat="false" ht="15" hidden="false" customHeight="false" outlineLevel="0" collapsed="false">
      <c r="B324" s="19"/>
    </row>
    <row r="325" customFormat="false" ht="15" hidden="false" customHeight="false" outlineLevel="0" collapsed="false">
      <c r="B325" s="19"/>
    </row>
    <row r="326" customFormat="false" ht="15" hidden="false" customHeight="false" outlineLevel="0" collapsed="false">
      <c r="B326" s="19"/>
    </row>
    <row r="327" customFormat="false" ht="15" hidden="false" customHeight="false" outlineLevel="0" collapsed="false">
      <c r="B327" s="19"/>
    </row>
    <row r="328" customFormat="false" ht="15" hidden="false" customHeight="false" outlineLevel="0" collapsed="false">
      <c r="B328" s="19"/>
    </row>
    <row r="329" customFormat="false" ht="15" hidden="false" customHeight="false" outlineLevel="0" collapsed="false">
      <c r="B329" s="19"/>
    </row>
    <row r="330" customFormat="false" ht="15" hidden="false" customHeight="false" outlineLevel="0" collapsed="false">
      <c r="B330" s="19"/>
    </row>
    <row r="331" customFormat="false" ht="15" hidden="false" customHeight="false" outlineLevel="0" collapsed="false">
      <c r="B331" s="19"/>
    </row>
    <row r="332" customFormat="false" ht="15" hidden="false" customHeight="false" outlineLevel="0" collapsed="false">
      <c r="B332" s="19"/>
    </row>
    <row r="333" customFormat="false" ht="15" hidden="false" customHeight="false" outlineLevel="0" collapsed="false">
      <c r="B333" s="19"/>
    </row>
    <row r="334" customFormat="false" ht="15" hidden="false" customHeight="false" outlineLevel="0" collapsed="false">
      <c r="B334" s="19"/>
    </row>
    <row r="335" customFormat="false" ht="15" hidden="false" customHeight="false" outlineLevel="0" collapsed="false">
      <c r="B335" s="19"/>
    </row>
    <row r="336" customFormat="false" ht="15" hidden="false" customHeight="false" outlineLevel="0" collapsed="false">
      <c r="B336" s="19"/>
    </row>
    <row r="337" customFormat="false" ht="15" hidden="false" customHeight="false" outlineLevel="0" collapsed="false">
      <c r="B337" s="19"/>
    </row>
    <row r="338" customFormat="false" ht="15" hidden="false" customHeight="false" outlineLevel="0" collapsed="false">
      <c r="B338" s="19"/>
    </row>
    <row r="339" customFormat="false" ht="15" hidden="false" customHeight="false" outlineLevel="0" collapsed="false">
      <c r="B339" s="19"/>
    </row>
    <row r="340" customFormat="false" ht="15" hidden="false" customHeight="false" outlineLevel="0" collapsed="false">
      <c r="B340" s="19"/>
    </row>
    <row r="341" customFormat="false" ht="15" hidden="false" customHeight="false" outlineLevel="0" collapsed="false">
      <c r="B341" s="19"/>
    </row>
    <row r="342" customFormat="false" ht="15" hidden="false" customHeight="false" outlineLevel="0" collapsed="false">
      <c r="B342" s="19"/>
    </row>
    <row r="343" customFormat="false" ht="15" hidden="false" customHeight="false" outlineLevel="0" collapsed="false">
      <c r="B343" s="19"/>
    </row>
    <row r="344" customFormat="false" ht="15" hidden="false" customHeight="false" outlineLevel="0" collapsed="false">
      <c r="B344" s="19"/>
    </row>
    <row r="345" customFormat="false" ht="15" hidden="false" customHeight="false" outlineLevel="0" collapsed="false">
      <c r="B345" s="19"/>
    </row>
    <row r="346" customFormat="false" ht="15" hidden="false" customHeight="false" outlineLevel="0" collapsed="false">
      <c r="B346" s="19"/>
    </row>
    <row r="347" customFormat="false" ht="15" hidden="false" customHeight="false" outlineLevel="0" collapsed="false">
      <c r="B347" s="19"/>
    </row>
    <row r="348" customFormat="false" ht="15" hidden="false" customHeight="false" outlineLevel="0" collapsed="false">
      <c r="B348" s="19"/>
    </row>
    <row r="349" customFormat="false" ht="15" hidden="false" customHeight="false" outlineLevel="0" collapsed="false">
      <c r="B349" s="19"/>
    </row>
    <row r="350" customFormat="false" ht="15" hidden="false" customHeight="false" outlineLevel="0" collapsed="false">
      <c r="B350" s="19"/>
    </row>
    <row r="351" customFormat="false" ht="15" hidden="false" customHeight="false" outlineLevel="0" collapsed="false">
      <c r="B351" s="19"/>
    </row>
    <row r="352" customFormat="false" ht="15" hidden="false" customHeight="false" outlineLevel="0" collapsed="false">
      <c r="B352" s="19"/>
    </row>
    <row r="353" customFormat="false" ht="15" hidden="false" customHeight="false" outlineLevel="0" collapsed="false">
      <c r="B353" s="19"/>
    </row>
    <row r="354" customFormat="false" ht="15" hidden="false" customHeight="false" outlineLevel="0" collapsed="false">
      <c r="B354" s="19"/>
    </row>
    <row r="355" customFormat="false" ht="15" hidden="false" customHeight="false" outlineLevel="0" collapsed="false">
      <c r="B355" s="19"/>
    </row>
    <row r="356" customFormat="false" ht="15" hidden="false" customHeight="false" outlineLevel="0" collapsed="false">
      <c r="B356" s="19"/>
    </row>
    <row r="357" customFormat="false" ht="15" hidden="false" customHeight="false" outlineLevel="0" collapsed="false">
      <c r="B357" s="19"/>
    </row>
    <row r="358" customFormat="false" ht="15" hidden="false" customHeight="false" outlineLevel="0" collapsed="false">
      <c r="B358" s="19"/>
    </row>
    <row r="359" customFormat="false" ht="15" hidden="false" customHeight="false" outlineLevel="0" collapsed="false">
      <c r="B359" s="19"/>
    </row>
    <row r="360" customFormat="false" ht="15" hidden="false" customHeight="false" outlineLevel="0" collapsed="false">
      <c r="B360" s="19"/>
    </row>
    <row r="361" customFormat="false" ht="15" hidden="false" customHeight="false" outlineLevel="0" collapsed="false">
      <c r="B361" s="19"/>
    </row>
    <row r="362" customFormat="false" ht="15" hidden="false" customHeight="false" outlineLevel="0" collapsed="false">
      <c r="B362" s="19"/>
    </row>
    <row r="363" customFormat="false" ht="15" hidden="false" customHeight="false" outlineLevel="0" collapsed="false">
      <c r="B363" s="19"/>
    </row>
    <row r="364" customFormat="false" ht="15" hidden="false" customHeight="false" outlineLevel="0" collapsed="false">
      <c r="B364" s="19"/>
    </row>
    <row r="365" customFormat="false" ht="15" hidden="false" customHeight="false" outlineLevel="0" collapsed="false">
      <c r="B365" s="19"/>
    </row>
    <row r="366" customFormat="false" ht="15" hidden="false" customHeight="false" outlineLevel="0" collapsed="false">
      <c r="B366" s="19"/>
    </row>
    <row r="367" customFormat="false" ht="15" hidden="false" customHeight="false" outlineLevel="0" collapsed="false">
      <c r="B367" s="19"/>
    </row>
    <row r="368" customFormat="false" ht="15" hidden="false" customHeight="false" outlineLevel="0" collapsed="false">
      <c r="B368" s="19"/>
    </row>
    <row r="369" customFormat="false" ht="15" hidden="false" customHeight="false" outlineLevel="0" collapsed="false">
      <c r="B369" s="19"/>
    </row>
    <row r="370" customFormat="false" ht="15" hidden="false" customHeight="false" outlineLevel="0" collapsed="false">
      <c r="B370" s="19"/>
    </row>
    <row r="371" customFormat="false" ht="15" hidden="false" customHeight="false" outlineLevel="0" collapsed="false">
      <c r="B371" s="19"/>
    </row>
    <row r="372" customFormat="false" ht="15" hidden="false" customHeight="false" outlineLevel="0" collapsed="false">
      <c r="B372" s="19"/>
    </row>
    <row r="373" customFormat="false" ht="15" hidden="false" customHeight="false" outlineLevel="0" collapsed="false">
      <c r="B373" s="19"/>
    </row>
    <row r="374" customFormat="false" ht="15" hidden="false" customHeight="false" outlineLevel="0" collapsed="false">
      <c r="B374" s="19"/>
    </row>
    <row r="375" customFormat="false" ht="15" hidden="false" customHeight="false" outlineLevel="0" collapsed="false">
      <c r="B375" s="19"/>
    </row>
    <row r="376" customFormat="false" ht="15" hidden="false" customHeight="false" outlineLevel="0" collapsed="false">
      <c r="B376" s="19"/>
    </row>
    <row r="377" customFormat="false" ht="15" hidden="false" customHeight="false" outlineLevel="0" collapsed="false">
      <c r="B377" s="19"/>
    </row>
    <row r="378" customFormat="false" ht="15" hidden="false" customHeight="false" outlineLevel="0" collapsed="false">
      <c r="B378" s="19"/>
    </row>
    <row r="379" customFormat="false" ht="15" hidden="false" customHeight="false" outlineLevel="0" collapsed="false">
      <c r="B379" s="19"/>
    </row>
    <row r="380" customFormat="false" ht="15" hidden="false" customHeight="false" outlineLevel="0" collapsed="false">
      <c r="B380" s="19"/>
    </row>
    <row r="381" customFormat="false" ht="15" hidden="false" customHeight="false" outlineLevel="0" collapsed="false">
      <c r="B381" s="19"/>
    </row>
    <row r="382" customFormat="false" ht="15" hidden="false" customHeight="false" outlineLevel="0" collapsed="false">
      <c r="B382" s="19"/>
    </row>
    <row r="383" customFormat="false" ht="15" hidden="false" customHeight="false" outlineLevel="0" collapsed="false">
      <c r="B383" s="19"/>
    </row>
    <row r="384" customFormat="false" ht="15" hidden="false" customHeight="false" outlineLevel="0" collapsed="false">
      <c r="B384" s="19"/>
    </row>
    <row r="385" customFormat="false" ht="15" hidden="false" customHeight="false" outlineLevel="0" collapsed="false">
      <c r="B385" s="19"/>
    </row>
    <row r="386" customFormat="false" ht="15" hidden="false" customHeight="false" outlineLevel="0" collapsed="false">
      <c r="B386" s="19"/>
    </row>
    <row r="387" customFormat="false" ht="15" hidden="false" customHeight="false" outlineLevel="0" collapsed="false">
      <c r="B387" s="19"/>
    </row>
    <row r="388" customFormat="false" ht="15" hidden="false" customHeight="false" outlineLevel="0" collapsed="false">
      <c r="B388" s="19"/>
    </row>
    <row r="389" customFormat="false" ht="15" hidden="false" customHeight="false" outlineLevel="0" collapsed="false">
      <c r="B389" s="19"/>
    </row>
    <row r="390" customFormat="false" ht="15" hidden="false" customHeight="false" outlineLevel="0" collapsed="false">
      <c r="B390" s="19"/>
    </row>
    <row r="391" customFormat="false" ht="15" hidden="false" customHeight="false" outlineLevel="0" collapsed="false">
      <c r="B391" s="19"/>
    </row>
    <row r="392" customFormat="false" ht="15" hidden="false" customHeight="false" outlineLevel="0" collapsed="false">
      <c r="B392" s="19"/>
    </row>
    <row r="393" customFormat="false" ht="15" hidden="false" customHeight="false" outlineLevel="0" collapsed="false">
      <c r="B393" s="19"/>
    </row>
    <row r="394" customFormat="false" ht="15" hidden="false" customHeight="false" outlineLevel="0" collapsed="false">
      <c r="B394" s="19"/>
    </row>
    <row r="395" customFormat="false" ht="15" hidden="false" customHeight="false" outlineLevel="0" collapsed="false">
      <c r="B395" s="19"/>
    </row>
    <row r="396" customFormat="false" ht="15" hidden="false" customHeight="false" outlineLevel="0" collapsed="false">
      <c r="B396" s="19"/>
    </row>
    <row r="397" customFormat="false" ht="15" hidden="false" customHeight="false" outlineLevel="0" collapsed="false">
      <c r="B397" s="19"/>
    </row>
    <row r="398" customFormat="false" ht="15" hidden="false" customHeight="false" outlineLevel="0" collapsed="false">
      <c r="B398" s="19"/>
    </row>
    <row r="399" customFormat="false" ht="15" hidden="false" customHeight="false" outlineLevel="0" collapsed="false">
      <c r="B399" s="19"/>
    </row>
    <row r="400" customFormat="false" ht="15" hidden="false" customHeight="false" outlineLevel="0" collapsed="false">
      <c r="B400" s="19"/>
    </row>
    <row r="401" customFormat="false" ht="15" hidden="false" customHeight="false" outlineLevel="0" collapsed="false">
      <c r="B40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19.5" hidden="false" customHeight="true" outlineLevel="0" collapsed="false">
      <c r="A1" s="10" t="s">
        <v>47</v>
      </c>
      <c r="B1" s="10" t="s">
        <v>48</v>
      </c>
      <c r="C1" s="10" t="s">
        <v>49</v>
      </c>
      <c r="D1" s="21"/>
      <c r="E1" s="10" t="s">
        <v>41</v>
      </c>
      <c r="F1" s="10" t="s">
        <v>47</v>
      </c>
      <c r="G1" s="10" t="s">
        <v>43</v>
      </c>
      <c r="H1" s="10" t="s">
        <v>44</v>
      </c>
    </row>
    <row r="2" customFormat="false" ht="15" hidden="false" customHeight="false" outlineLevel="0" collapsed="false">
      <c r="A2" s="2"/>
      <c r="B2" s="12"/>
      <c r="C2" s="2"/>
      <c r="D2" s="2"/>
      <c r="E2" s="17"/>
      <c r="F2" s="2"/>
      <c r="G2" s="12"/>
      <c r="H2" s="2"/>
    </row>
    <row r="3" customFormat="false" ht="15" hidden="false" customHeight="false" outlineLevel="0" collapsed="false">
      <c r="A3" s="2"/>
      <c r="B3" s="12"/>
      <c r="C3" s="2"/>
      <c r="D3" s="2"/>
      <c r="E3" s="17"/>
      <c r="F3" s="2"/>
      <c r="G3" s="12"/>
      <c r="H3" s="2"/>
    </row>
    <row r="4" customFormat="false" ht="15" hidden="false" customHeight="false" outlineLevel="0" collapsed="false">
      <c r="A4" s="2"/>
      <c r="B4" s="12"/>
      <c r="C4" s="2"/>
      <c r="D4" s="2"/>
      <c r="E4" s="17"/>
      <c r="F4" s="2"/>
      <c r="G4" s="12"/>
      <c r="H4" s="2"/>
    </row>
    <row r="5" customFormat="false" ht="15" hidden="false" customHeight="false" outlineLevel="0" collapsed="false">
      <c r="A5" s="2"/>
      <c r="B5" s="12"/>
      <c r="C5" s="2"/>
      <c r="D5" s="2"/>
      <c r="E5" s="17"/>
      <c r="F5" s="2"/>
      <c r="G5" s="12"/>
      <c r="H5" s="2"/>
    </row>
    <row r="6" customFormat="false" ht="15" hidden="false" customHeight="false" outlineLevel="0" collapsed="false">
      <c r="A6" s="2"/>
      <c r="B6" s="12"/>
      <c r="C6" s="2"/>
      <c r="D6" s="2"/>
      <c r="E6" s="17"/>
      <c r="F6" s="2"/>
      <c r="G6" s="12"/>
      <c r="H6" s="2"/>
    </row>
    <row r="7" customFormat="false" ht="15" hidden="false" customHeight="false" outlineLevel="0" collapsed="false">
      <c r="A7" s="2"/>
      <c r="B7" s="12"/>
      <c r="C7" s="2"/>
      <c r="D7" s="2"/>
      <c r="E7" s="17"/>
      <c r="F7" s="2"/>
      <c r="G7" s="12"/>
      <c r="H7" s="2"/>
    </row>
    <row r="8" customFormat="false" ht="15" hidden="false" customHeight="false" outlineLevel="0" collapsed="false">
      <c r="A8" s="2"/>
      <c r="B8" s="12"/>
      <c r="C8" s="2"/>
      <c r="D8" s="2"/>
      <c r="E8" s="17"/>
      <c r="F8" s="2"/>
      <c r="G8" s="12"/>
      <c r="H8" s="2"/>
    </row>
    <row r="9" customFormat="false" ht="15" hidden="false" customHeight="false" outlineLevel="0" collapsed="false">
      <c r="A9" s="2"/>
      <c r="B9" s="12"/>
      <c r="C9" s="2"/>
      <c r="D9" s="2"/>
      <c r="E9" s="17"/>
      <c r="F9" s="2"/>
      <c r="G9" s="12"/>
      <c r="H9" s="2"/>
    </row>
    <row r="10" customFormat="false" ht="15" hidden="false" customHeight="false" outlineLevel="0" collapsed="false">
      <c r="A10" s="2"/>
      <c r="B10" s="12"/>
      <c r="C10" s="2"/>
      <c r="D10" s="2"/>
      <c r="E10" s="17"/>
      <c r="F10" s="2"/>
      <c r="G10" s="12"/>
      <c r="H10" s="2"/>
    </row>
    <row r="11" customFormat="false" ht="15" hidden="false" customHeight="false" outlineLevel="0" collapsed="false">
      <c r="A11" s="2"/>
      <c r="B11" s="12"/>
      <c r="C11" s="2"/>
      <c r="D11" s="2"/>
      <c r="E11" s="17"/>
      <c r="F11" s="2"/>
      <c r="G11" s="12"/>
      <c r="H11" s="2"/>
    </row>
    <row r="12" customFormat="false" ht="15" hidden="false" customHeight="false" outlineLevel="0" collapsed="false">
      <c r="A12" s="2"/>
      <c r="B12" s="12"/>
      <c r="C12" s="2"/>
      <c r="D12" s="2"/>
      <c r="E12" s="17"/>
      <c r="F12" s="2"/>
      <c r="G12" s="12"/>
      <c r="H12" s="2"/>
    </row>
    <row r="13" customFormat="false" ht="15" hidden="false" customHeight="false" outlineLevel="0" collapsed="false">
      <c r="A13" s="2"/>
      <c r="B13" s="12"/>
      <c r="C13" s="2"/>
      <c r="D13" s="2"/>
      <c r="E13" s="17"/>
      <c r="F13" s="2"/>
      <c r="G13" s="12"/>
      <c r="H13" s="2"/>
    </row>
    <row r="14" customFormat="false" ht="15" hidden="false" customHeight="false" outlineLevel="0" collapsed="false">
      <c r="A14" s="2"/>
      <c r="B14" s="12"/>
      <c r="C14" s="2"/>
      <c r="D14" s="2"/>
      <c r="E14" s="17"/>
      <c r="F14" s="2"/>
      <c r="G14" s="12"/>
      <c r="H14" s="2"/>
    </row>
    <row r="15" customFormat="false" ht="15" hidden="false" customHeight="false" outlineLevel="0" collapsed="false">
      <c r="A15" s="2"/>
      <c r="B15" s="12"/>
      <c r="C15" s="2"/>
      <c r="D15" s="2"/>
      <c r="E15" s="17"/>
      <c r="F15" s="2"/>
      <c r="G15" s="12"/>
      <c r="H15" s="2"/>
    </row>
    <row r="16" customFormat="false" ht="15" hidden="false" customHeight="false" outlineLevel="0" collapsed="false">
      <c r="A16" s="2"/>
      <c r="B16" s="12"/>
      <c r="C16" s="2"/>
      <c r="D16" s="2"/>
      <c r="E16" s="17"/>
      <c r="F16" s="2"/>
      <c r="G16" s="12"/>
      <c r="H16" s="2"/>
    </row>
    <row r="17" customFormat="false" ht="15" hidden="false" customHeight="false" outlineLevel="0" collapsed="false">
      <c r="A17" s="2"/>
      <c r="B17" s="12"/>
      <c r="C17" s="2"/>
      <c r="D17" s="2"/>
      <c r="E17" s="17"/>
      <c r="F17" s="2"/>
      <c r="G17" s="12"/>
      <c r="H17" s="2"/>
    </row>
    <row r="18" customFormat="false" ht="15" hidden="false" customHeight="false" outlineLevel="0" collapsed="false">
      <c r="A18" s="2"/>
      <c r="B18" s="12"/>
      <c r="C18" s="2"/>
      <c r="D18" s="2"/>
      <c r="E18" s="17"/>
      <c r="F18" s="2"/>
      <c r="G18" s="12"/>
      <c r="H18" s="2"/>
    </row>
    <row r="19" customFormat="false" ht="15" hidden="false" customHeight="false" outlineLevel="0" collapsed="false">
      <c r="A19" s="2"/>
      <c r="B19" s="12"/>
      <c r="C19" s="2"/>
      <c r="D19" s="2"/>
      <c r="E19" s="17"/>
      <c r="F19" s="2"/>
      <c r="G19" s="12"/>
      <c r="H19" s="2"/>
    </row>
    <row r="20" customFormat="false" ht="15" hidden="false" customHeight="false" outlineLevel="0" collapsed="false">
      <c r="A20" s="2"/>
      <c r="B20" s="12"/>
      <c r="C20" s="2"/>
      <c r="D20" s="2"/>
      <c r="E20" s="17"/>
      <c r="F20" s="2"/>
      <c r="G20" s="12"/>
      <c r="H20" s="2"/>
    </row>
    <row r="21" customFormat="false" ht="15" hidden="false" customHeight="false" outlineLevel="0" collapsed="false">
      <c r="B21" s="19"/>
      <c r="E21" s="18"/>
      <c r="G21" s="19"/>
    </row>
    <row r="22" customFormat="false" ht="15" hidden="false" customHeight="false" outlineLevel="0" collapsed="false">
      <c r="B22" s="19"/>
      <c r="E22" s="18"/>
      <c r="G22" s="19"/>
    </row>
    <row r="23" customFormat="false" ht="15" hidden="false" customHeight="false" outlineLevel="0" collapsed="false">
      <c r="B23" s="19"/>
      <c r="E23" s="18"/>
      <c r="G23" s="19"/>
    </row>
    <row r="24" customFormat="false" ht="15" hidden="false" customHeight="false" outlineLevel="0" collapsed="false">
      <c r="B24" s="19"/>
      <c r="E24" s="18"/>
      <c r="G24" s="19"/>
    </row>
    <row r="25" customFormat="false" ht="15" hidden="false" customHeight="false" outlineLevel="0" collapsed="false">
      <c r="B25" s="19"/>
      <c r="E25" s="18"/>
      <c r="G25" s="19"/>
    </row>
    <row r="26" customFormat="false" ht="15" hidden="false" customHeight="false" outlineLevel="0" collapsed="false">
      <c r="B26" s="19"/>
      <c r="E26" s="18"/>
      <c r="G26" s="19"/>
    </row>
    <row r="27" customFormat="false" ht="15" hidden="false" customHeight="false" outlineLevel="0" collapsed="false">
      <c r="B27" s="19"/>
      <c r="E27" s="18"/>
      <c r="G27" s="19"/>
    </row>
    <row r="28" customFormat="false" ht="15" hidden="false" customHeight="false" outlineLevel="0" collapsed="false">
      <c r="B28" s="19"/>
      <c r="E28" s="18"/>
      <c r="G28" s="19"/>
    </row>
    <row r="29" customFormat="false" ht="15" hidden="false" customHeight="false" outlineLevel="0" collapsed="false">
      <c r="B29" s="19"/>
      <c r="E29" s="18"/>
      <c r="G29" s="19"/>
    </row>
    <row r="30" customFormat="false" ht="15" hidden="false" customHeight="false" outlineLevel="0" collapsed="false">
      <c r="B30" s="19"/>
      <c r="E30" s="18"/>
      <c r="G30" s="19"/>
    </row>
    <row r="31" customFormat="false" ht="15" hidden="false" customHeight="false" outlineLevel="0" collapsed="false">
      <c r="B31" s="19"/>
      <c r="E31" s="18"/>
      <c r="G31" s="19"/>
    </row>
    <row r="32" customFormat="false" ht="15" hidden="false" customHeight="false" outlineLevel="0" collapsed="false">
      <c r="B32" s="19"/>
      <c r="E32" s="18"/>
      <c r="G32" s="19"/>
    </row>
    <row r="33" customFormat="false" ht="15" hidden="false" customHeight="false" outlineLevel="0" collapsed="false">
      <c r="B33" s="19"/>
      <c r="E33" s="18"/>
      <c r="G33" s="19"/>
    </row>
    <row r="34" customFormat="false" ht="15" hidden="false" customHeight="false" outlineLevel="0" collapsed="false">
      <c r="B34" s="19"/>
      <c r="E34" s="18"/>
      <c r="G34" s="19"/>
    </row>
    <row r="35" customFormat="false" ht="15" hidden="false" customHeight="false" outlineLevel="0" collapsed="false">
      <c r="B35" s="19"/>
      <c r="E35" s="18"/>
      <c r="G35" s="19"/>
    </row>
    <row r="36" customFormat="false" ht="15" hidden="false" customHeight="false" outlineLevel="0" collapsed="false">
      <c r="B36" s="19"/>
      <c r="E36" s="18"/>
      <c r="G36" s="19"/>
    </row>
    <row r="37" customFormat="false" ht="15" hidden="false" customHeight="false" outlineLevel="0" collapsed="false">
      <c r="B37" s="19"/>
      <c r="E37" s="18"/>
      <c r="G37" s="19"/>
    </row>
    <row r="38" customFormat="false" ht="15" hidden="false" customHeight="false" outlineLevel="0" collapsed="false">
      <c r="B38" s="19"/>
      <c r="E38" s="18"/>
      <c r="G38" s="19"/>
    </row>
    <row r="39" customFormat="false" ht="15" hidden="false" customHeight="false" outlineLevel="0" collapsed="false">
      <c r="B39" s="19"/>
      <c r="E39" s="18"/>
      <c r="G39" s="19"/>
    </row>
    <row r="40" customFormat="false" ht="15" hidden="false" customHeight="false" outlineLevel="0" collapsed="false">
      <c r="B40" s="19"/>
      <c r="E40" s="18"/>
      <c r="G40" s="19"/>
    </row>
    <row r="41" customFormat="false" ht="15" hidden="false" customHeight="false" outlineLevel="0" collapsed="false">
      <c r="B41" s="19"/>
      <c r="E41" s="18"/>
      <c r="G41" s="19"/>
    </row>
    <row r="42" customFormat="false" ht="15" hidden="false" customHeight="false" outlineLevel="0" collapsed="false">
      <c r="B42" s="19"/>
      <c r="E42" s="18"/>
      <c r="G42" s="19"/>
    </row>
    <row r="43" customFormat="false" ht="15" hidden="false" customHeight="false" outlineLevel="0" collapsed="false">
      <c r="B43" s="19"/>
      <c r="E43" s="18"/>
      <c r="G43" s="19"/>
    </row>
    <row r="44" customFormat="false" ht="15" hidden="false" customHeight="false" outlineLevel="0" collapsed="false">
      <c r="B44" s="19"/>
      <c r="E44" s="18"/>
      <c r="G44" s="19"/>
    </row>
    <row r="45" customFormat="false" ht="15" hidden="false" customHeight="false" outlineLevel="0" collapsed="false">
      <c r="B45" s="19"/>
      <c r="E45" s="18"/>
      <c r="G45" s="19"/>
    </row>
    <row r="46" customFormat="false" ht="15" hidden="false" customHeight="false" outlineLevel="0" collapsed="false">
      <c r="B46" s="19"/>
      <c r="E46" s="18"/>
      <c r="G46" s="19"/>
    </row>
    <row r="47" customFormat="false" ht="15" hidden="false" customHeight="false" outlineLevel="0" collapsed="false">
      <c r="B47" s="19"/>
      <c r="E47" s="18"/>
      <c r="G47" s="19"/>
    </row>
    <row r="48" customFormat="false" ht="15" hidden="false" customHeight="false" outlineLevel="0" collapsed="false">
      <c r="B48" s="19"/>
      <c r="E48" s="18"/>
      <c r="G48" s="19"/>
    </row>
    <row r="49" customFormat="false" ht="15" hidden="false" customHeight="false" outlineLevel="0" collapsed="false">
      <c r="B49" s="19"/>
      <c r="E49" s="18"/>
      <c r="G49" s="19"/>
    </row>
    <row r="50" customFormat="false" ht="15" hidden="false" customHeight="false" outlineLevel="0" collapsed="false">
      <c r="B50" s="19"/>
      <c r="E50" s="18"/>
      <c r="G50" s="19"/>
    </row>
    <row r="51" customFormat="false" ht="15" hidden="false" customHeight="false" outlineLevel="0" collapsed="false">
      <c r="B51" s="19"/>
      <c r="E51" s="18"/>
      <c r="G51" s="19"/>
    </row>
    <row r="52" customFormat="false" ht="15" hidden="false" customHeight="false" outlineLevel="0" collapsed="false">
      <c r="B52" s="19"/>
      <c r="E52" s="18"/>
      <c r="G52" s="19"/>
    </row>
    <row r="53" customFormat="false" ht="15" hidden="false" customHeight="false" outlineLevel="0" collapsed="false">
      <c r="B53" s="19"/>
      <c r="E53" s="18"/>
      <c r="G53" s="19"/>
    </row>
    <row r="54" customFormat="false" ht="15" hidden="false" customHeight="false" outlineLevel="0" collapsed="false">
      <c r="B54" s="19"/>
      <c r="E54" s="18"/>
      <c r="G54" s="19"/>
    </row>
    <row r="55" customFormat="false" ht="15" hidden="false" customHeight="false" outlineLevel="0" collapsed="false">
      <c r="B55" s="19"/>
      <c r="E55" s="18"/>
      <c r="G55" s="19"/>
    </row>
    <row r="56" customFormat="false" ht="15" hidden="false" customHeight="false" outlineLevel="0" collapsed="false">
      <c r="B56" s="19"/>
      <c r="E56" s="18"/>
      <c r="G56" s="19"/>
    </row>
    <row r="57" customFormat="false" ht="15" hidden="false" customHeight="false" outlineLevel="0" collapsed="false">
      <c r="B57" s="19"/>
      <c r="E57" s="18"/>
      <c r="G57" s="19"/>
    </row>
    <row r="58" customFormat="false" ht="15" hidden="false" customHeight="false" outlineLevel="0" collapsed="false">
      <c r="B58" s="19"/>
      <c r="E58" s="18"/>
      <c r="G58" s="19"/>
    </row>
    <row r="59" customFormat="false" ht="15" hidden="false" customHeight="false" outlineLevel="0" collapsed="false">
      <c r="B59" s="19"/>
      <c r="E59" s="18"/>
      <c r="G59" s="19"/>
    </row>
    <row r="60" customFormat="false" ht="15" hidden="false" customHeight="false" outlineLevel="0" collapsed="false">
      <c r="B60" s="19"/>
      <c r="E60" s="18"/>
      <c r="G60" s="19"/>
    </row>
    <row r="61" customFormat="false" ht="15" hidden="false" customHeight="false" outlineLevel="0" collapsed="false">
      <c r="B61" s="19"/>
      <c r="E61" s="18"/>
      <c r="G61" s="19"/>
    </row>
    <row r="62" customFormat="false" ht="15" hidden="false" customHeight="false" outlineLevel="0" collapsed="false">
      <c r="B62" s="19"/>
      <c r="E62" s="18"/>
      <c r="G62" s="19"/>
    </row>
    <row r="63" customFormat="false" ht="15" hidden="false" customHeight="false" outlineLevel="0" collapsed="false">
      <c r="B63" s="19"/>
      <c r="E63" s="18"/>
      <c r="G63" s="19"/>
    </row>
    <row r="64" customFormat="false" ht="15" hidden="false" customHeight="false" outlineLevel="0" collapsed="false">
      <c r="B64" s="19"/>
      <c r="E64" s="18"/>
      <c r="G64" s="19"/>
    </row>
    <row r="65" customFormat="false" ht="15" hidden="false" customHeight="false" outlineLevel="0" collapsed="false">
      <c r="B65" s="19"/>
      <c r="E65" s="18"/>
      <c r="G65" s="19"/>
    </row>
    <row r="66" customFormat="false" ht="15" hidden="false" customHeight="false" outlineLevel="0" collapsed="false">
      <c r="B66" s="19"/>
      <c r="E66" s="18"/>
      <c r="G66" s="19"/>
    </row>
    <row r="67" customFormat="false" ht="15" hidden="false" customHeight="false" outlineLevel="0" collapsed="false">
      <c r="B67" s="19"/>
      <c r="E67" s="18"/>
      <c r="G67" s="19"/>
    </row>
    <row r="68" customFormat="false" ht="15" hidden="false" customHeight="false" outlineLevel="0" collapsed="false">
      <c r="B68" s="19"/>
      <c r="E68" s="18"/>
      <c r="G68" s="19"/>
    </row>
    <row r="69" customFormat="false" ht="15" hidden="false" customHeight="false" outlineLevel="0" collapsed="false">
      <c r="B69" s="19"/>
      <c r="E69" s="18"/>
      <c r="G69" s="19"/>
    </row>
    <row r="70" customFormat="false" ht="15" hidden="false" customHeight="false" outlineLevel="0" collapsed="false">
      <c r="B70" s="19"/>
      <c r="E70" s="18"/>
      <c r="G70" s="19"/>
    </row>
    <row r="71" customFormat="false" ht="15" hidden="false" customHeight="false" outlineLevel="0" collapsed="false">
      <c r="B71" s="19"/>
      <c r="E71" s="18"/>
      <c r="G71" s="19"/>
    </row>
    <row r="72" customFormat="false" ht="15" hidden="false" customHeight="false" outlineLevel="0" collapsed="false">
      <c r="B72" s="19"/>
      <c r="E72" s="18"/>
      <c r="G72" s="19"/>
    </row>
    <row r="73" customFormat="false" ht="15" hidden="false" customHeight="false" outlineLevel="0" collapsed="false">
      <c r="B73" s="19"/>
      <c r="E73" s="18"/>
      <c r="G73" s="19"/>
    </row>
    <row r="74" customFormat="false" ht="15" hidden="false" customHeight="false" outlineLevel="0" collapsed="false">
      <c r="B74" s="19"/>
      <c r="E74" s="18"/>
      <c r="G74" s="19"/>
    </row>
    <row r="75" customFormat="false" ht="15" hidden="false" customHeight="false" outlineLevel="0" collapsed="false">
      <c r="B75" s="19"/>
      <c r="E75" s="18"/>
      <c r="G75" s="19"/>
    </row>
    <row r="76" customFormat="false" ht="15" hidden="false" customHeight="false" outlineLevel="0" collapsed="false">
      <c r="B76" s="19"/>
      <c r="E76" s="18"/>
      <c r="G76" s="19"/>
    </row>
    <row r="77" customFormat="false" ht="15" hidden="false" customHeight="false" outlineLevel="0" collapsed="false">
      <c r="B77" s="19"/>
      <c r="E77" s="18"/>
      <c r="G77" s="19"/>
    </row>
    <row r="78" customFormat="false" ht="15" hidden="false" customHeight="false" outlineLevel="0" collapsed="false">
      <c r="B78" s="19"/>
      <c r="E78" s="18"/>
      <c r="G78" s="19"/>
    </row>
    <row r="79" customFormat="false" ht="15" hidden="false" customHeight="false" outlineLevel="0" collapsed="false">
      <c r="B79" s="19"/>
      <c r="E79" s="18"/>
      <c r="G79" s="19"/>
    </row>
    <row r="80" customFormat="false" ht="15" hidden="false" customHeight="false" outlineLevel="0" collapsed="false">
      <c r="B80" s="19"/>
      <c r="E80" s="18"/>
      <c r="G80" s="19"/>
    </row>
    <row r="81" customFormat="false" ht="15" hidden="false" customHeight="false" outlineLevel="0" collapsed="false">
      <c r="B81" s="19"/>
      <c r="E81" s="18"/>
      <c r="G81" s="19"/>
    </row>
    <row r="82" customFormat="false" ht="15" hidden="false" customHeight="false" outlineLevel="0" collapsed="false">
      <c r="B82" s="19"/>
      <c r="E82" s="18"/>
      <c r="G82" s="19"/>
    </row>
    <row r="83" customFormat="false" ht="15" hidden="false" customHeight="false" outlineLevel="0" collapsed="false">
      <c r="B83" s="19"/>
      <c r="E83" s="18"/>
      <c r="G83" s="19"/>
    </row>
    <row r="84" customFormat="false" ht="15" hidden="false" customHeight="false" outlineLevel="0" collapsed="false">
      <c r="B84" s="19"/>
      <c r="E84" s="18"/>
      <c r="G84" s="19"/>
    </row>
    <row r="85" customFormat="false" ht="15" hidden="false" customHeight="false" outlineLevel="0" collapsed="false">
      <c r="B85" s="19"/>
      <c r="E85" s="18"/>
      <c r="G85" s="19"/>
    </row>
    <row r="86" customFormat="false" ht="15" hidden="false" customHeight="false" outlineLevel="0" collapsed="false">
      <c r="B86" s="19"/>
      <c r="E86" s="18"/>
      <c r="G86" s="19"/>
    </row>
    <row r="87" customFormat="false" ht="15" hidden="false" customHeight="false" outlineLevel="0" collapsed="false">
      <c r="B87" s="19"/>
      <c r="E87" s="18"/>
      <c r="G87" s="19"/>
    </row>
    <row r="88" customFormat="false" ht="15" hidden="false" customHeight="false" outlineLevel="0" collapsed="false">
      <c r="B88" s="19"/>
      <c r="E88" s="18"/>
      <c r="G88" s="19"/>
    </row>
    <row r="89" customFormat="false" ht="15" hidden="false" customHeight="false" outlineLevel="0" collapsed="false">
      <c r="B89" s="19"/>
      <c r="E89" s="18"/>
      <c r="G89" s="19"/>
    </row>
    <row r="90" customFormat="false" ht="15" hidden="false" customHeight="false" outlineLevel="0" collapsed="false">
      <c r="B90" s="19"/>
      <c r="E90" s="18"/>
      <c r="G90" s="19"/>
    </row>
    <row r="91" customFormat="false" ht="15" hidden="false" customHeight="false" outlineLevel="0" collapsed="false">
      <c r="B91" s="19"/>
      <c r="E91" s="18"/>
      <c r="G91" s="19"/>
    </row>
    <row r="92" customFormat="false" ht="15" hidden="false" customHeight="false" outlineLevel="0" collapsed="false">
      <c r="B92" s="19"/>
      <c r="E92" s="18"/>
      <c r="G92" s="19"/>
    </row>
    <row r="93" customFormat="false" ht="15" hidden="false" customHeight="false" outlineLevel="0" collapsed="false">
      <c r="B93" s="19"/>
      <c r="E93" s="18"/>
      <c r="G93" s="19"/>
    </row>
    <row r="94" customFormat="false" ht="15" hidden="false" customHeight="false" outlineLevel="0" collapsed="false">
      <c r="B94" s="19"/>
      <c r="E94" s="18"/>
      <c r="G94" s="19"/>
    </row>
    <row r="95" customFormat="false" ht="15" hidden="false" customHeight="false" outlineLevel="0" collapsed="false">
      <c r="B95" s="19"/>
      <c r="E95" s="18"/>
      <c r="G95" s="19"/>
    </row>
    <row r="96" customFormat="false" ht="15" hidden="false" customHeight="false" outlineLevel="0" collapsed="false">
      <c r="B96" s="19"/>
      <c r="E96" s="18"/>
      <c r="G96" s="19"/>
    </row>
    <row r="97" customFormat="false" ht="15" hidden="false" customHeight="false" outlineLevel="0" collapsed="false">
      <c r="B97" s="19"/>
      <c r="E97" s="18"/>
      <c r="G97" s="19"/>
    </row>
    <row r="98" customFormat="false" ht="15" hidden="false" customHeight="false" outlineLevel="0" collapsed="false">
      <c r="B98" s="19"/>
      <c r="E98" s="18"/>
      <c r="G98" s="19"/>
    </row>
    <row r="99" customFormat="false" ht="15" hidden="false" customHeight="false" outlineLevel="0" collapsed="false">
      <c r="B99" s="19"/>
      <c r="E99" s="18"/>
      <c r="G99" s="19"/>
    </row>
    <row r="100" customFormat="false" ht="15" hidden="false" customHeight="false" outlineLevel="0" collapsed="false">
      <c r="B100" s="19"/>
      <c r="E100" s="18"/>
      <c r="G100" s="19"/>
    </row>
    <row r="101" customFormat="false" ht="15" hidden="false" customHeight="false" outlineLevel="0" collapsed="false">
      <c r="B101" s="19"/>
      <c r="E101" s="18"/>
      <c r="G101" s="19"/>
    </row>
    <row r="102" customFormat="false" ht="15" hidden="false" customHeight="false" outlineLevel="0" collapsed="false">
      <c r="B102" s="19"/>
      <c r="E102" s="18"/>
      <c r="G102" s="19"/>
    </row>
    <row r="103" customFormat="false" ht="15" hidden="false" customHeight="false" outlineLevel="0" collapsed="false">
      <c r="B103" s="19"/>
      <c r="E103" s="18"/>
      <c r="G103" s="19"/>
    </row>
    <row r="104" customFormat="false" ht="15" hidden="false" customHeight="false" outlineLevel="0" collapsed="false">
      <c r="B104" s="19"/>
      <c r="E104" s="18"/>
      <c r="G104" s="19"/>
    </row>
    <row r="105" customFormat="false" ht="15" hidden="false" customHeight="false" outlineLevel="0" collapsed="false">
      <c r="B105" s="19"/>
      <c r="E105" s="18"/>
      <c r="G105" s="19"/>
    </row>
    <row r="106" customFormat="false" ht="15" hidden="false" customHeight="false" outlineLevel="0" collapsed="false">
      <c r="B106" s="19"/>
      <c r="E106" s="18"/>
      <c r="G106" s="19"/>
    </row>
    <row r="107" customFormat="false" ht="15" hidden="false" customHeight="false" outlineLevel="0" collapsed="false">
      <c r="B107" s="19"/>
      <c r="E107" s="18"/>
      <c r="G107" s="19"/>
    </row>
    <row r="108" customFormat="false" ht="15" hidden="false" customHeight="false" outlineLevel="0" collapsed="false">
      <c r="B108" s="19"/>
      <c r="E108" s="18"/>
      <c r="G108" s="19"/>
    </row>
    <row r="109" customFormat="false" ht="15" hidden="false" customHeight="false" outlineLevel="0" collapsed="false">
      <c r="B109" s="19"/>
      <c r="E109" s="18"/>
      <c r="G109" s="19"/>
    </row>
    <row r="110" customFormat="false" ht="15" hidden="false" customHeight="false" outlineLevel="0" collapsed="false">
      <c r="B110" s="19"/>
      <c r="E110" s="18"/>
      <c r="G110" s="19"/>
    </row>
    <row r="111" customFormat="false" ht="15" hidden="false" customHeight="false" outlineLevel="0" collapsed="false">
      <c r="B111" s="19"/>
      <c r="E111" s="18"/>
      <c r="G111" s="19"/>
    </row>
    <row r="112" customFormat="false" ht="15" hidden="false" customHeight="false" outlineLevel="0" collapsed="false">
      <c r="B112" s="19"/>
      <c r="E112" s="18"/>
      <c r="G112" s="19"/>
    </row>
    <row r="113" customFormat="false" ht="15" hidden="false" customHeight="false" outlineLevel="0" collapsed="false">
      <c r="B113" s="19"/>
      <c r="E113" s="18"/>
      <c r="G113" s="19"/>
    </row>
    <row r="114" customFormat="false" ht="15" hidden="false" customHeight="false" outlineLevel="0" collapsed="false">
      <c r="B114" s="19"/>
      <c r="E114" s="18"/>
      <c r="G114" s="19"/>
    </row>
    <row r="115" customFormat="false" ht="15" hidden="false" customHeight="false" outlineLevel="0" collapsed="false">
      <c r="B115" s="19"/>
      <c r="E115" s="18"/>
      <c r="G115" s="19"/>
    </row>
    <row r="116" customFormat="false" ht="15" hidden="false" customHeight="false" outlineLevel="0" collapsed="false">
      <c r="B116" s="19"/>
      <c r="E116" s="18"/>
      <c r="G116" s="19"/>
    </row>
    <row r="117" customFormat="false" ht="15" hidden="false" customHeight="false" outlineLevel="0" collapsed="false">
      <c r="B117" s="19"/>
      <c r="E117" s="18"/>
      <c r="G117" s="19"/>
    </row>
    <row r="118" customFormat="false" ht="15" hidden="false" customHeight="false" outlineLevel="0" collapsed="false">
      <c r="B118" s="19"/>
      <c r="E118" s="18"/>
      <c r="G118" s="19"/>
    </row>
    <row r="119" customFormat="false" ht="15" hidden="false" customHeight="false" outlineLevel="0" collapsed="false">
      <c r="B119" s="19"/>
      <c r="E119" s="18"/>
      <c r="G119" s="19"/>
    </row>
    <row r="120" customFormat="false" ht="15" hidden="false" customHeight="false" outlineLevel="0" collapsed="false">
      <c r="B120" s="19"/>
      <c r="E120" s="18"/>
      <c r="G120" s="19"/>
    </row>
    <row r="121" customFormat="false" ht="15" hidden="false" customHeight="false" outlineLevel="0" collapsed="false">
      <c r="B121" s="19"/>
      <c r="E121" s="18"/>
      <c r="G121" s="19"/>
    </row>
    <row r="122" customFormat="false" ht="15" hidden="false" customHeight="false" outlineLevel="0" collapsed="false">
      <c r="B122" s="19"/>
      <c r="E122" s="18"/>
      <c r="G122" s="19"/>
    </row>
    <row r="123" customFormat="false" ht="15" hidden="false" customHeight="false" outlineLevel="0" collapsed="false">
      <c r="B123" s="19"/>
      <c r="E123" s="18"/>
      <c r="G123" s="19"/>
    </row>
    <row r="124" customFormat="false" ht="15" hidden="false" customHeight="false" outlineLevel="0" collapsed="false">
      <c r="B124" s="19"/>
      <c r="E124" s="18"/>
      <c r="G124" s="19"/>
    </row>
    <row r="125" customFormat="false" ht="15" hidden="false" customHeight="false" outlineLevel="0" collapsed="false">
      <c r="B125" s="19"/>
      <c r="E125" s="18"/>
      <c r="G125" s="19"/>
    </row>
    <row r="126" customFormat="false" ht="15" hidden="false" customHeight="false" outlineLevel="0" collapsed="false">
      <c r="B126" s="19"/>
      <c r="E126" s="18"/>
      <c r="G126" s="19"/>
    </row>
    <row r="127" customFormat="false" ht="15" hidden="false" customHeight="false" outlineLevel="0" collapsed="false">
      <c r="B127" s="19"/>
      <c r="E127" s="18"/>
      <c r="G127" s="19"/>
    </row>
    <row r="128" customFormat="false" ht="15" hidden="false" customHeight="false" outlineLevel="0" collapsed="false">
      <c r="B128" s="19"/>
      <c r="E128" s="18"/>
      <c r="G128" s="19"/>
    </row>
    <row r="129" customFormat="false" ht="15" hidden="false" customHeight="false" outlineLevel="0" collapsed="false">
      <c r="B129" s="19"/>
      <c r="E129" s="18"/>
      <c r="G129" s="19"/>
    </row>
    <row r="130" customFormat="false" ht="15" hidden="false" customHeight="false" outlineLevel="0" collapsed="false">
      <c r="B130" s="19"/>
      <c r="E130" s="18"/>
      <c r="G130" s="19"/>
    </row>
    <row r="131" customFormat="false" ht="15" hidden="false" customHeight="false" outlineLevel="0" collapsed="false">
      <c r="B131" s="19"/>
      <c r="E131" s="18"/>
      <c r="G131" s="19"/>
    </row>
    <row r="132" customFormat="false" ht="15" hidden="false" customHeight="false" outlineLevel="0" collapsed="false">
      <c r="B132" s="19"/>
      <c r="E132" s="18"/>
      <c r="G132" s="19"/>
    </row>
    <row r="133" customFormat="false" ht="15" hidden="false" customHeight="false" outlineLevel="0" collapsed="false">
      <c r="B133" s="19"/>
      <c r="E133" s="18"/>
      <c r="G133" s="19"/>
    </row>
    <row r="134" customFormat="false" ht="15" hidden="false" customHeight="false" outlineLevel="0" collapsed="false">
      <c r="B134" s="19"/>
      <c r="E134" s="18"/>
      <c r="G134" s="19"/>
    </row>
    <row r="135" customFormat="false" ht="15" hidden="false" customHeight="false" outlineLevel="0" collapsed="false">
      <c r="B135" s="19"/>
      <c r="E135" s="18"/>
      <c r="G135" s="19"/>
    </row>
    <row r="136" customFormat="false" ht="15" hidden="false" customHeight="false" outlineLevel="0" collapsed="false">
      <c r="B136" s="19"/>
      <c r="E136" s="18"/>
      <c r="G136" s="19"/>
    </row>
    <row r="137" customFormat="false" ht="15" hidden="false" customHeight="false" outlineLevel="0" collapsed="false">
      <c r="B137" s="19"/>
      <c r="E137" s="18"/>
      <c r="G137" s="19"/>
    </row>
    <row r="138" customFormat="false" ht="15" hidden="false" customHeight="false" outlineLevel="0" collapsed="false">
      <c r="B138" s="19"/>
      <c r="E138" s="18"/>
      <c r="G138" s="19"/>
    </row>
    <row r="139" customFormat="false" ht="15" hidden="false" customHeight="false" outlineLevel="0" collapsed="false">
      <c r="B139" s="19"/>
      <c r="E139" s="18"/>
      <c r="G139" s="19"/>
    </row>
    <row r="140" customFormat="false" ht="15" hidden="false" customHeight="false" outlineLevel="0" collapsed="false">
      <c r="B140" s="19"/>
      <c r="E140" s="18"/>
      <c r="G140" s="19"/>
    </row>
    <row r="141" customFormat="false" ht="15" hidden="false" customHeight="false" outlineLevel="0" collapsed="false">
      <c r="B141" s="19"/>
      <c r="E141" s="18"/>
      <c r="G141" s="19"/>
    </row>
    <row r="142" customFormat="false" ht="15" hidden="false" customHeight="false" outlineLevel="0" collapsed="false">
      <c r="B142" s="19"/>
      <c r="E142" s="18"/>
      <c r="G142" s="19"/>
    </row>
    <row r="143" customFormat="false" ht="15" hidden="false" customHeight="false" outlineLevel="0" collapsed="false">
      <c r="B143" s="19"/>
      <c r="E143" s="18"/>
      <c r="G143" s="19"/>
    </row>
    <row r="144" customFormat="false" ht="15" hidden="false" customHeight="false" outlineLevel="0" collapsed="false">
      <c r="B144" s="19"/>
      <c r="E144" s="18"/>
      <c r="G144" s="19"/>
    </row>
    <row r="145" customFormat="false" ht="15" hidden="false" customHeight="false" outlineLevel="0" collapsed="false">
      <c r="B145" s="19"/>
      <c r="E145" s="18"/>
      <c r="G145" s="19"/>
    </row>
    <row r="146" customFormat="false" ht="15" hidden="false" customHeight="false" outlineLevel="0" collapsed="false">
      <c r="B146" s="19"/>
      <c r="E146" s="18"/>
      <c r="G146" s="19"/>
    </row>
    <row r="147" customFormat="false" ht="15" hidden="false" customHeight="false" outlineLevel="0" collapsed="false">
      <c r="B147" s="19"/>
      <c r="E147" s="18"/>
      <c r="G147" s="19"/>
    </row>
    <row r="148" customFormat="false" ht="15" hidden="false" customHeight="false" outlineLevel="0" collapsed="false">
      <c r="B148" s="19"/>
      <c r="E148" s="18"/>
      <c r="G148" s="19"/>
    </row>
    <row r="149" customFormat="false" ht="15" hidden="false" customHeight="false" outlineLevel="0" collapsed="false">
      <c r="B149" s="19"/>
      <c r="E149" s="18"/>
      <c r="G149" s="19"/>
    </row>
    <row r="150" customFormat="false" ht="15" hidden="false" customHeight="false" outlineLevel="0" collapsed="false">
      <c r="B150" s="19"/>
      <c r="E150" s="18"/>
      <c r="G150" s="19"/>
    </row>
    <row r="151" customFormat="false" ht="15" hidden="false" customHeight="false" outlineLevel="0" collapsed="false">
      <c r="B151" s="19"/>
      <c r="E151" s="18"/>
      <c r="G151" s="19"/>
    </row>
    <row r="152" customFormat="false" ht="15" hidden="false" customHeight="false" outlineLevel="0" collapsed="false">
      <c r="B152" s="19"/>
      <c r="E152" s="18"/>
      <c r="G152" s="19"/>
    </row>
    <row r="153" customFormat="false" ht="15" hidden="false" customHeight="false" outlineLevel="0" collapsed="false">
      <c r="B153" s="19"/>
      <c r="E153" s="18"/>
      <c r="G153" s="19"/>
    </row>
    <row r="154" customFormat="false" ht="15" hidden="false" customHeight="false" outlineLevel="0" collapsed="false">
      <c r="B154" s="19"/>
      <c r="E154" s="18"/>
      <c r="G154" s="19"/>
    </row>
    <row r="155" customFormat="false" ht="15" hidden="false" customHeight="false" outlineLevel="0" collapsed="false">
      <c r="B155" s="19"/>
      <c r="E155" s="18"/>
      <c r="G155" s="19"/>
    </row>
    <row r="156" customFormat="false" ht="15" hidden="false" customHeight="false" outlineLevel="0" collapsed="false">
      <c r="B156" s="19"/>
      <c r="E156" s="18"/>
      <c r="G156" s="19"/>
    </row>
    <row r="157" customFormat="false" ht="15" hidden="false" customHeight="false" outlineLevel="0" collapsed="false">
      <c r="B157" s="19"/>
      <c r="E157" s="18"/>
      <c r="G157" s="19"/>
    </row>
    <row r="158" customFormat="false" ht="15" hidden="false" customHeight="false" outlineLevel="0" collapsed="false">
      <c r="B158" s="19"/>
      <c r="E158" s="18"/>
      <c r="G158" s="19"/>
    </row>
    <row r="159" customFormat="false" ht="15" hidden="false" customHeight="false" outlineLevel="0" collapsed="false">
      <c r="B159" s="19"/>
      <c r="E159" s="18"/>
      <c r="G159" s="19"/>
    </row>
    <row r="160" customFormat="false" ht="15" hidden="false" customHeight="false" outlineLevel="0" collapsed="false">
      <c r="B160" s="19"/>
      <c r="E160" s="18"/>
      <c r="G160" s="19"/>
    </row>
    <row r="161" customFormat="false" ht="15" hidden="false" customHeight="false" outlineLevel="0" collapsed="false">
      <c r="B161" s="19"/>
      <c r="E161" s="18"/>
      <c r="G161" s="19"/>
    </row>
    <row r="162" customFormat="false" ht="15" hidden="false" customHeight="false" outlineLevel="0" collapsed="false">
      <c r="B162" s="19"/>
      <c r="E162" s="18"/>
      <c r="G162" s="19"/>
    </row>
    <row r="163" customFormat="false" ht="15" hidden="false" customHeight="false" outlineLevel="0" collapsed="false">
      <c r="B163" s="19"/>
      <c r="E163" s="18"/>
      <c r="G163" s="19"/>
    </row>
    <row r="164" customFormat="false" ht="15" hidden="false" customHeight="false" outlineLevel="0" collapsed="false">
      <c r="B164" s="19"/>
      <c r="E164" s="18"/>
      <c r="G164" s="19"/>
    </row>
    <row r="165" customFormat="false" ht="15" hidden="false" customHeight="false" outlineLevel="0" collapsed="false">
      <c r="B165" s="19"/>
      <c r="E165" s="18"/>
      <c r="G165" s="19"/>
    </row>
    <row r="166" customFormat="false" ht="15" hidden="false" customHeight="false" outlineLevel="0" collapsed="false">
      <c r="B166" s="19"/>
      <c r="E166" s="18"/>
      <c r="G166" s="19"/>
    </row>
    <row r="167" customFormat="false" ht="15" hidden="false" customHeight="false" outlineLevel="0" collapsed="false">
      <c r="B167" s="19"/>
      <c r="E167" s="18"/>
      <c r="G167" s="19"/>
    </row>
    <row r="168" customFormat="false" ht="15" hidden="false" customHeight="false" outlineLevel="0" collapsed="false">
      <c r="B168" s="19"/>
      <c r="E168" s="18"/>
      <c r="G168" s="19"/>
    </row>
    <row r="169" customFormat="false" ht="15" hidden="false" customHeight="false" outlineLevel="0" collapsed="false">
      <c r="B169" s="19"/>
      <c r="E169" s="18"/>
      <c r="G169" s="19"/>
    </row>
    <row r="170" customFormat="false" ht="15" hidden="false" customHeight="false" outlineLevel="0" collapsed="false">
      <c r="B170" s="19"/>
      <c r="E170" s="18"/>
      <c r="G170" s="19"/>
    </row>
    <row r="171" customFormat="false" ht="15" hidden="false" customHeight="false" outlineLevel="0" collapsed="false">
      <c r="B171" s="19"/>
      <c r="E171" s="18"/>
      <c r="G171" s="19"/>
    </row>
    <row r="172" customFormat="false" ht="15" hidden="false" customHeight="false" outlineLevel="0" collapsed="false">
      <c r="B172" s="19"/>
      <c r="E172" s="18"/>
      <c r="G172" s="19"/>
    </row>
    <row r="173" customFormat="false" ht="15" hidden="false" customHeight="false" outlineLevel="0" collapsed="false">
      <c r="B173" s="19"/>
      <c r="E173" s="18"/>
      <c r="G173" s="19"/>
    </row>
    <row r="174" customFormat="false" ht="15" hidden="false" customHeight="false" outlineLevel="0" collapsed="false">
      <c r="B174" s="19"/>
      <c r="E174" s="18"/>
      <c r="G174" s="19"/>
    </row>
    <row r="175" customFormat="false" ht="15" hidden="false" customHeight="false" outlineLevel="0" collapsed="false">
      <c r="B175" s="19"/>
      <c r="E175" s="18"/>
      <c r="G175" s="19"/>
    </row>
    <row r="176" customFormat="false" ht="15" hidden="false" customHeight="false" outlineLevel="0" collapsed="false">
      <c r="B176" s="19"/>
      <c r="E176" s="18"/>
      <c r="G176" s="19"/>
    </row>
    <row r="177" customFormat="false" ht="15" hidden="false" customHeight="false" outlineLevel="0" collapsed="false">
      <c r="B177" s="19"/>
      <c r="E177" s="18"/>
      <c r="G177" s="19"/>
    </row>
    <row r="178" customFormat="false" ht="15" hidden="false" customHeight="false" outlineLevel="0" collapsed="false">
      <c r="B178" s="19"/>
      <c r="E178" s="18"/>
      <c r="G178" s="19"/>
    </row>
    <row r="179" customFormat="false" ht="15" hidden="false" customHeight="false" outlineLevel="0" collapsed="false">
      <c r="B179" s="19"/>
      <c r="E179" s="18"/>
      <c r="G179" s="19"/>
    </row>
    <row r="180" customFormat="false" ht="15" hidden="false" customHeight="false" outlineLevel="0" collapsed="false">
      <c r="B180" s="19"/>
      <c r="E180" s="18"/>
      <c r="G180" s="19"/>
    </row>
    <row r="181" customFormat="false" ht="15" hidden="false" customHeight="false" outlineLevel="0" collapsed="false">
      <c r="B181" s="19"/>
      <c r="E181" s="18"/>
      <c r="G181" s="19"/>
    </row>
    <row r="182" customFormat="false" ht="15" hidden="false" customHeight="false" outlineLevel="0" collapsed="false">
      <c r="B182" s="19"/>
      <c r="E182" s="18"/>
      <c r="G182" s="19"/>
    </row>
    <row r="183" customFormat="false" ht="15" hidden="false" customHeight="false" outlineLevel="0" collapsed="false">
      <c r="B183" s="19"/>
      <c r="E183" s="18"/>
      <c r="G183" s="19"/>
    </row>
    <row r="184" customFormat="false" ht="15" hidden="false" customHeight="false" outlineLevel="0" collapsed="false">
      <c r="B184" s="19"/>
      <c r="E184" s="18"/>
      <c r="G184" s="19"/>
    </row>
    <row r="185" customFormat="false" ht="15" hidden="false" customHeight="false" outlineLevel="0" collapsed="false">
      <c r="B185" s="19"/>
      <c r="E185" s="18"/>
      <c r="G185" s="19"/>
    </row>
    <row r="186" customFormat="false" ht="15" hidden="false" customHeight="false" outlineLevel="0" collapsed="false">
      <c r="B186" s="19"/>
      <c r="E186" s="18"/>
      <c r="G186" s="19"/>
    </row>
    <row r="187" customFormat="false" ht="15" hidden="false" customHeight="false" outlineLevel="0" collapsed="false">
      <c r="B187" s="19"/>
      <c r="E187" s="18"/>
      <c r="G187" s="19"/>
    </row>
    <row r="188" customFormat="false" ht="15" hidden="false" customHeight="false" outlineLevel="0" collapsed="false">
      <c r="B188" s="19"/>
      <c r="E188" s="18"/>
      <c r="G188" s="19"/>
    </row>
    <row r="189" customFormat="false" ht="15" hidden="false" customHeight="false" outlineLevel="0" collapsed="false">
      <c r="B189" s="19"/>
      <c r="E189" s="18"/>
      <c r="G189" s="19"/>
    </row>
    <row r="190" customFormat="false" ht="15" hidden="false" customHeight="false" outlineLevel="0" collapsed="false">
      <c r="B190" s="19"/>
      <c r="E190" s="18"/>
      <c r="G190" s="19"/>
    </row>
    <row r="191" customFormat="false" ht="15" hidden="false" customHeight="false" outlineLevel="0" collapsed="false">
      <c r="B191" s="19"/>
      <c r="E191" s="18"/>
      <c r="G191" s="19"/>
    </row>
    <row r="192" customFormat="false" ht="15" hidden="false" customHeight="false" outlineLevel="0" collapsed="false">
      <c r="B192" s="19"/>
      <c r="E192" s="18"/>
      <c r="G192" s="19"/>
    </row>
    <row r="193" customFormat="false" ht="15" hidden="false" customHeight="false" outlineLevel="0" collapsed="false">
      <c r="B193" s="19"/>
      <c r="E193" s="18"/>
      <c r="G193" s="19"/>
    </row>
    <row r="194" customFormat="false" ht="15" hidden="false" customHeight="false" outlineLevel="0" collapsed="false">
      <c r="B194" s="19"/>
      <c r="E194" s="18"/>
      <c r="G194" s="19"/>
    </row>
    <row r="195" customFormat="false" ht="15" hidden="false" customHeight="false" outlineLevel="0" collapsed="false">
      <c r="B195" s="19"/>
      <c r="E195" s="18"/>
      <c r="G195" s="19"/>
    </row>
    <row r="196" customFormat="false" ht="15" hidden="false" customHeight="false" outlineLevel="0" collapsed="false">
      <c r="B196" s="19"/>
      <c r="E196" s="18"/>
      <c r="G196" s="19"/>
    </row>
    <row r="197" customFormat="false" ht="15" hidden="false" customHeight="false" outlineLevel="0" collapsed="false">
      <c r="B197" s="19"/>
      <c r="E197" s="18"/>
      <c r="G197" s="19"/>
    </row>
    <row r="198" customFormat="false" ht="15" hidden="false" customHeight="false" outlineLevel="0" collapsed="false">
      <c r="B198" s="19"/>
      <c r="E198" s="18"/>
      <c r="G198" s="19"/>
    </row>
    <row r="199" customFormat="false" ht="15" hidden="false" customHeight="false" outlineLevel="0" collapsed="false">
      <c r="B199" s="19"/>
      <c r="E199" s="18"/>
      <c r="G199" s="19"/>
    </row>
    <row r="200" customFormat="false" ht="15" hidden="false" customHeight="false" outlineLevel="0" collapsed="false">
      <c r="B200" s="19"/>
      <c r="E200" s="18"/>
      <c r="G200" s="19"/>
    </row>
    <row r="201" customFormat="false" ht="15" hidden="false" customHeight="false" outlineLevel="0" collapsed="false">
      <c r="B201" s="19"/>
      <c r="E201" s="18"/>
      <c r="G201" s="19"/>
    </row>
    <row r="202" customFormat="false" ht="15" hidden="false" customHeight="false" outlineLevel="0" collapsed="false">
      <c r="B202" s="19"/>
      <c r="E202" s="18"/>
      <c r="G202" s="19"/>
    </row>
    <row r="203" customFormat="false" ht="15" hidden="false" customHeight="false" outlineLevel="0" collapsed="false">
      <c r="B203" s="19"/>
      <c r="E203" s="18"/>
      <c r="G203" s="19"/>
    </row>
    <row r="204" customFormat="false" ht="15" hidden="false" customHeight="false" outlineLevel="0" collapsed="false">
      <c r="B204" s="19"/>
      <c r="E204" s="18"/>
      <c r="G204" s="19"/>
    </row>
    <row r="205" customFormat="false" ht="15" hidden="false" customHeight="false" outlineLevel="0" collapsed="false">
      <c r="B205" s="19"/>
      <c r="E205" s="18"/>
      <c r="G205" s="19"/>
    </row>
    <row r="206" customFormat="false" ht="15" hidden="false" customHeight="false" outlineLevel="0" collapsed="false">
      <c r="B206" s="19"/>
      <c r="E206" s="18"/>
      <c r="G206" s="19"/>
    </row>
    <row r="207" customFormat="false" ht="15" hidden="false" customHeight="false" outlineLevel="0" collapsed="false">
      <c r="B207" s="19"/>
      <c r="E207" s="18"/>
      <c r="G207" s="19"/>
    </row>
    <row r="208" customFormat="false" ht="15" hidden="false" customHeight="false" outlineLevel="0" collapsed="false">
      <c r="B208" s="19"/>
      <c r="E208" s="18"/>
      <c r="G208" s="19"/>
    </row>
    <row r="209" customFormat="false" ht="15" hidden="false" customHeight="false" outlineLevel="0" collapsed="false">
      <c r="B209" s="19"/>
      <c r="E209" s="18"/>
      <c r="G209" s="19"/>
    </row>
    <row r="210" customFormat="false" ht="15" hidden="false" customHeight="false" outlineLevel="0" collapsed="false">
      <c r="B210" s="19"/>
      <c r="E210" s="18"/>
      <c r="G210" s="19"/>
    </row>
    <row r="211" customFormat="false" ht="15" hidden="false" customHeight="false" outlineLevel="0" collapsed="false">
      <c r="B211" s="19"/>
      <c r="E211" s="18"/>
      <c r="G211" s="19"/>
    </row>
    <row r="212" customFormat="false" ht="15" hidden="false" customHeight="false" outlineLevel="0" collapsed="false">
      <c r="B212" s="19"/>
      <c r="E212" s="18"/>
      <c r="G212" s="19"/>
    </row>
    <row r="213" customFormat="false" ht="15" hidden="false" customHeight="false" outlineLevel="0" collapsed="false">
      <c r="B213" s="19"/>
      <c r="E213" s="18"/>
      <c r="G213" s="19"/>
    </row>
    <row r="214" customFormat="false" ht="15" hidden="false" customHeight="false" outlineLevel="0" collapsed="false">
      <c r="B214" s="19"/>
      <c r="E214" s="18"/>
      <c r="G214" s="19"/>
    </row>
    <row r="215" customFormat="false" ht="15" hidden="false" customHeight="false" outlineLevel="0" collapsed="false">
      <c r="B215" s="19"/>
      <c r="E215" s="18"/>
      <c r="G215" s="19"/>
    </row>
    <row r="216" customFormat="false" ht="15" hidden="false" customHeight="false" outlineLevel="0" collapsed="false">
      <c r="B216" s="19"/>
      <c r="E216" s="18"/>
      <c r="G216" s="19"/>
    </row>
    <row r="217" customFormat="false" ht="15" hidden="false" customHeight="false" outlineLevel="0" collapsed="false">
      <c r="B217" s="19"/>
      <c r="E217" s="18"/>
      <c r="G217" s="19"/>
    </row>
    <row r="218" customFormat="false" ht="15" hidden="false" customHeight="false" outlineLevel="0" collapsed="false">
      <c r="B218" s="19"/>
      <c r="E218" s="18"/>
      <c r="G218" s="19"/>
    </row>
    <row r="219" customFormat="false" ht="15" hidden="false" customHeight="false" outlineLevel="0" collapsed="false">
      <c r="B219" s="19"/>
      <c r="E219" s="18"/>
      <c r="G219" s="19"/>
    </row>
    <row r="220" customFormat="false" ht="15" hidden="false" customHeight="false" outlineLevel="0" collapsed="false">
      <c r="B220" s="19"/>
      <c r="E220" s="18"/>
      <c r="G220" s="19"/>
    </row>
    <row r="221" customFormat="false" ht="15" hidden="false" customHeight="false" outlineLevel="0" collapsed="false">
      <c r="B221" s="19"/>
      <c r="E221" s="18"/>
      <c r="G221" s="19"/>
    </row>
    <row r="222" customFormat="false" ht="15" hidden="false" customHeight="false" outlineLevel="0" collapsed="false">
      <c r="B222" s="19"/>
      <c r="E222" s="18"/>
      <c r="G222" s="19"/>
    </row>
    <row r="223" customFormat="false" ht="15" hidden="false" customHeight="false" outlineLevel="0" collapsed="false">
      <c r="B223" s="19"/>
      <c r="E223" s="18"/>
      <c r="G223" s="19"/>
    </row>
    <row r="224" customFormat="false" ht="15" hidden="false" customHeight="false" outlineLevel="0" collapsed="false">
      <c r="B224" s="19"/>
      <c r="E224" s="18"/>
      <c r="G224" s="19"/>
    </row>
    <row r="225" customFormat="false" ht="15" hidden="false" customHeight="false" outlineLevel="0" collapsed="false">
      <c r="B225" s="19"/>
      <c r="E225" s="18"/>
      <c r="G225" s="19"/>
    </row>
    <row r="226" customFormat="false" ht="15" hidden="false" customHeight="false" outlineLevel="0" collapsed="false">
      <c r="B226" s="19"/>
      <c r="E226" s="18"/>
      <c r="G226" s="19"/>
    </row>
    <row r="227" customFormat="false" ht="15" hidden="false" customHeight="false" outlineLevel="0" collapsed="false">
      <c r="B227" s="19"/>
      <c r="E227" s="18"/>
      <c r="G227" s="19"/>
    </row>
    <row r="228" customFormat="false" ht="15" hidden="false" customHeight="false" outlineLevel="0" collapsed="false">
      <c r="B228" s="19"/>
      <c r="E228" s="18"/>
      <c r="G228" s="19"/>
    </row>
    <row r="229" customFormat="false" ht="15" hidden="false" customHeight="false" outlineLevel="0" collapsed="false">
      <c r="B229" s="19"/>
      <c r="E229" s="18"/>
      <c r="G229" s="19"/>
    </row>
    <row r="230" customFormat="false" ht="15" hidden="false" customHeight="false" outlineLevel="0" collapsed="false">
      <c r="B230" s="19"/>
      <c r="E230" s="18"/>
      <c r="G230" s="19"/>
    </row>
    <row r="231" customFormat="false" ht="15" hidden="false" customHeight="false" outlineLevel="0" collapsed="false">
      <c r="B231" s="19"/>
      <c r="E231" s="18"/>
      <c r="G231" s="19"/>
    </row>
    <row r="232" customFormat="false" ht="15" hidden="false" customHeight="false" outlineLevel="0" collapsed="false">
      <c r="B232" s="19"/>
      <c r="E232" s="18"/>
      <c r="G232" s="19"/>
    </row>
    <row r="233" customFormat="false" ht="15" hidden="false" customHeight="false" outlineLevel="0" collapsed="false">
      <c r="B233" s="19"/>
      <c r="E233" s="18"/>
      <c r="G233" s="19"/>
    </row>
    <row r="234" customFormat="false" ht="15" hidden="false" customHeight="false" outlineLevel="0" collapsed="false">
      <c r="B234" s="19"/>
      <c r="E234" s="18"/>
      <c r="G234" s="19"/>
    </row>
    <row r="235" customFormat="false" ht="15" hidden="false" customHeight="false" outlineLevel="0" collapsed="false">
      <c r="B235" s="19"/>
      <c r="E235" s="18"/>
      <c r="G235" s="19"/>
    </row>
    <row r="236" customFormat="false" ht="15" hidden="false" customHeight="false" outlineLevel="0" collapsed="false">
      <c r="B236" s="19"/>
      <c r="E236" s="18"/>
      <c r="G236" s="19"/>
    </row>
    <row r="237" customFormat="false" ht="15" hidden="false" customHeight="false" outlineLevel="0" collapsed="false">
      <c r="B237" s="19"/>
      <c r="E237" s="18"/>
      <c r="G237" s="19"/>
    </row>
    <row r="238" customFormat="false" ht="15" hidden="false" customHeight="false" outlineLevel="0" collapsed="false">
      <c r="B238" s="19"/>
      <c r="E238" s="18"/>
      <c r="G238" s="19"/>
    </row>
    <row r="239" customFormat="false" ht="15" hidden="false" customHeight="false" outlineLevel="0" collapsed="false">
      <c r="B239" s="19"/>
      <c r="E239" s="18"/>
      <c r="G239" s="19"/>
    </row>
    <row r="240" customFormat="false" ht="15" hidden="false" customHeight="false" outlineLevel="0" collapsed="false">
      <c r="B240" s="19"/>
      <c r="E240" s="18"/>
      <c r="G240" s="19"/>
    </row>
    <row r="241" customFormat="false" ht="15" hidden="false" customHeight="false" outlineLevel="0" collapsed="false">
      <c r="B241" s="19"/>
      <c r="E241" s="18"/>
      <c r="G241" s="19"/>
    </row>
    <row r="242" customFormat="false" ht="15" hidden="false" customHeight="false" outlineLevel="0" collapsed="false">
      <c r="B242" s="19"/>
      <c r="E242" s="18"/>
      <c r="G242" s="19"/>
    </row>
    <row r="243" customFormat="false" ht="15" hidden="false" customHeight="false" outlineLevel="0" collapsed="false">
      <c r="B243" s="19"/>
      <c r="E243" s="18"/>
      <c r="G243" s="19"/>
    </row>
    <row r="244" customFormat="false" ht="15" hidden="false" customHeight="false" outlineLevel="0" collapsed="false">
      <c r="B244" s="19"/>
      <c r="E244" s="18"/>
      <c r="G244" s="19"/>
    </row>
    <row r="245" customFormat="false" ht="15" hidden="false" customHeight="false" outlineLevel="0" collapsed="false">
      <c r="B245" s="19"/>
      <c r="E245" s="18"/>
      <c r="G245" s="19"/>
    </row>
    <row r="246" customFormat="false" ht="15" hidden="false" customHeight="false" outlineLevel="0" collapsed="false">
      <c r="B246" s="19"/>
      <c r="E246" s="18"/>
      <c r="G246" s="19"/>
    </row>
    <row r="247" customFormat="false" ht="15" hidden="false" customHeight="false" outlineLevel="0" collapsed="false">
      <c r="B247" s="19"/>
      <c r="E247" s="18"/>
      <c r="G247" s="19"/>
    </row>
    <row r="248" customFormat="false" ht="15" hidden="false" customHeight="false" outlineLevel="0" collapsed="false">
      <c r="B248" s="19"/>
      <c r="E248" s="18"/>
      <c r="G248" s="19"/>
    </row>
    <row r="249" customFormat="false" ht="15" hidden="false" customHeight="false" outlineLevel="0" collapsed="false">
      <c r="B249" s="19"/>
      <c r="E249" s="18"/>
      <c r="G249" s="19"/>
    </row>
    <row r="250" customFormat="false" ht="15" hidden="false" customHeight="false" outlineLevel="0" collapsed="false">
      <c r="B250" s="19"/>
      <c r="E250" s="18"/>
      <c r="G250" s="19"/>
    </row>
    <row r="251" customFormat="false" ht="15" hidden="false" customHeight="false" outlineLevel="0" collapsed="false">
      <c r="B251" s="19"/>
      <c r="E251" s="18"/>
      <c r="G251" s="19"/>
    </row>
    <row r="252" customFormat="false" ht="15" hidden="false" customHeight="false" outlineLevel="0" collapsed="false">
      <c r="B252" s="19"/>
      <c r="E252" s="18"/>
      <c r="G252" s="19"/>
    </row>
    <row r="253" customFormat="false" ht="15" hidden="false" customHeight="false" outlineLevel="0" collapsed="false">
      <c r="B253" s="19"/>
      <c r="E253" s="18"/>
      <c r="G253" s="19"/>
    </row>
    <row r="254" customFormat="false" ht="15" hidden="false" customHeight="false" outlineLevel="0" collapsed="false">
      <c r="B254" s="19"/>
      <c r="E254" s="18"/>
      <c r="G254" s="19"/>
    </row>
    <row r="255" customFormat="false" ht="15" hidden="false" customHeight="false" outlineLevel="0" collapsed="false">
      <c r="B255" s="19"/>
      <c r="E255" s="18"/>
      <c r="G255" s="19"/>
    </row>
    <row r="256" customFormat="false" ht="15" hidden="false" customHeight="false" outlineLevel="0" collapsed="false">
      <c r="B256" s="19"/>
      <c r="E256" s="18"/>
      <c r="G256" s="19"/>
    </row>
    <row r="257" customFormat="false" ht="15" hidden="false" customHeight="false" outlineLevel="0" collapsed="false">
      <c r="B257" s="19"/>
      <c r="E257" s="18"/>
      <c r="G257" s="19"/>
    </row>
    <row r="258" customFormat="false" ht="15" hidden="false" customHeight="false" outlineLevel="0" collapsed="false">
      <c r="B258" s="19"/>
      <c r="E258" s="18"/>
      <c r="G258" s="19"/>
    </row>
    <row r="259" customFormat="false" ht="15" hidden="false" customHeight="false" outlineLevel="0" collapsed="false">
      <c r="B259" s="19"/>
      <c r="E259" s="18"/>
      <c r="G259" s="19"/>
    </row>
    <row r="260" customFormat="false" ht="15" hidden="false" customHeight="false" outlineLevel="0" collapsed="false">
      <c r="B260" s="19"/>
      <c r="E260" s="18"/>
      <c r="G260" s="19"/>
    </row>
    <row r="261" customFormat="false" ht="15" hidden="false" customHeight="false" outlineLevel="0" collapsed="false">
      <c r="B261" s="19"/>
      <c r="E261" s="18"/>
      <c r="G261" s="19"/>
    </row>
    <row r="262" customFormat="false" ht="15" hidden="false" customHeight="false" outlineLevel="0" collapsed="false">
      <c r="B262" s="19"/>
      <c r="E262" s="18"/>
      <c r="G262" s="19"/>
    </row>
    <row r="263" customFormat="false" ht="15" hidden="false" customHeight="false" outlineLevel="0" collapsed="false">
      <c r="B263" s="19"/>
      <c r="E263" s="18"/>
      <c r="G263" s="19"/>
    </row>
    <row r="264" customFormat="false" ht="15" hidden="false" customHeight="false" outlineLevel="0" collapsed="false">
      <c r="B264" s="19"/>
      <c r="E264" s="18"/>
      <c r="G264" s="19"/>
    </row>
    <row r="265" customFormat="false" ht="15" hidden="false" customHeight="false" outlineLevel="0" collapsed="false">
      <c r="B265" s="19"/>
      <c r="E265" s="18"/>
      <c r="G265" s="19"/>
    </row>
    <row r="266" customFormat="false" ht="15" hidden="false" customHeight="false" outlineLevel="0" collapsed="false">
      <c r="B266" s="19"/>
      <c r="E266" s="18"/>
      <c r="G266" s="19"/>
    </row>
    <row r="267" customFormat="false" ht="15" hidden="false" customHeight="false" outlineLevel="0" collapsed="false">
      <c r="B267" s="19"/>
      <c r="E267" s="18"/>
      <c r="G267" s="19"/>
    </row>
    <row r="268" customFormat="false" ht="15" hidden="false" customHeight="false" outlineLevel="0" collapsed="false">
      <c r="B268" s="19"/>
      <c r="E268" s="18"/>
      <c r="G268" s="19"/>
    </row>
    <row r="269" customFormat="false" ht="15" hidden="false" customHeight="false" outlineLevel="0" collapsed="false">
      <c r="B269" s="19"/>
      <c r="E269" s="18"/>
      <c r="G269" s="19"/>
    </row>
    <row r="270" customFormat="false" ht="15" hidden="false" customHeight="false" outlineLevel="0" collapsed="false">
      <c r="B270" s="19"/>
      <c r="E270" s="18"/>
      <c r="G270" s="19"/>
    </row>
    <row r="271" customFormat="false" ht="15" hidden="false" customHeight="false" outlineLevel="0" collapsed="false">
      <c r="B271" s="19"/>
      <c r="E271" s="18"/>
      <c r="G271" s="19"/>
    </row>
    <row r="272" customFormat="false" ht="15" hidden="false" customHeight="false" outlineLevel="0" collapsed="false">
      <c r="B272" s="19"/>
      <c r="E272" s="18"/>
      <c r="G272" s="19"/>
    </row>
    <row r="273" customFormat="false" ht="15" hidden="false" customHeight="false" outlineLevel="0" collapsed="false">
      <c r="B273" s="19"/>
      <c r="E273" s="18"/>
      <c r="G273" s="19"/>
    </row>
    <row r="274" customFormat="false" ht="15" hidden="false" customHeight="false" outlineLevel="0" collapsed="false">
      <c r="B274" s="19"/>
      <c r="E274" s="18"/>
      <c r="G274" s="19"/>
    </row>
    <row r="275" customFormat="false" ht="15" hidden="false" customHeight="false" outlineLevel="0" collapsed="false">
      <c r="B275" s="19"/>
      <c r="E275" s="18"/>
      <c r="G275" s="19"/>
    </row>
    <row r="276" customFormat="false" ht="15" hidden="false" customHeight="false" outlineLevel="0" collapsed="false">
      <c r="B276" s="19"/>
      <c r="E276" s="18"/>
      <c r="G276" s="19"/>
    </row>
    <row r="277" customFormat="false" ht="15" hidden="false" customHeight="false" outlineLevel="0" collapsed="false">
      <c r="B277" s="19"/>
      <c r="E277" s="18"/>
      <c r="G277" s="19"/>
    </row>
    <row r="278" customFormat="false" ht="15" hidden="false" customHeight="false" outlineLevel="0" collapsed="false">
      <c r="B278" s="19"/>
      <c r="E278" s="18"/>
      <c r="G278" s="19"/>
    </row>
    <row r="279" customFormat="false" ht="15" hidden="false" customHeight="false" outlineLevel="0" collapsed="false">
      <c r="B279" s="19"/>
      <c r="E279" s="18"/>
      <c r="G279" s="19"/>
    </row>
    <row r="280" customFormat="false" ht="15" hidden="false" customHeight="false" outlineLevel="0" collapsed="false">
      <c r="B280" s="19"/>
      <c r="E280" s="18"/>
      <c r="G280" s="19"/>
    </row>
    <row r="281" customFormat="false" ht="15" hidden="false" customHeight="false" outlineLevel="0" collapsed="false">
      <c r="B281" s="19"/>
      <c r="E281" s="18"/>
      <c r="G281" s="19"/>
    </row>
    <row r="282" customFormat="false" ht="15" hidden="false" customHeight="false" outlineLevel="0" collapsed="false">
      <c r="B282" s="19"/>
      <c r="E282" s="18"/>
      <c r="G282" s="19"/>
    </row>
    <row r="283" customFormat="false" ht="15" hidden="false" customHeight="false" outlineLevel="0" collapsed="false">
      <c r="B283" s="19"/>
      <c r="E283" s="18"/>
      <c r="G283" s="19"/>
    </row>
    <row r="284" customFormat="false" ht="15" hidden="false" customHeight="false" outlineLevel="0" collapsed="false">
      <c r="B284" s="19"/>
      <c r="E284" s="18"/>
      <c r="G284" s="19"/>
    </row>
    <row r="285" customFormat="false" ht="15" hidden="false" customHeight="false" outlineLevel="0" collapsed="false">
      <c r="B285" s="19"/>
      <c r="E285" s="18"/>
      <c r="G285" s="19"/>
    </row>
    <row r="286" customFormat="false" ht="15" hidden="false" customHeight="false" outlineLevel="0" collapsed="false">
      <c r="B286" s="19"/>
      <c r="E286" s="18"/>
      <c r="G286" s="19"/>
    </row>
    <row r="287" customFormat="false" ht="15" hidden="false" customHeight="false" outlineLevel="0" collapsed="false">
      <c r="B287" s="19"/>
      <c r="E287" s="18"/>
      <c r="G287" s="19"/>
    </row>
    <row r="288" customFormat="false" ht="15" hidden="false" customHeight="false" outlineLevel="0" collapsed="false">
      <c r="B288" s="19"/>
      <c r="E288" s="18"/>
      <c r="G288" s="19"/>
    </row>
    <row r="289" customFormat="false" ht="15" hidden="false" customHeight="false" outlineLevel="0" collapsed="false">
      <c r="B289" s="19"/>
      <c r="E289" s="18"/>
      <c r="G289" s="19"/>
    </row>
    <row r="290" customFormat="false" ht="15" hidden="false" customHeight="false" outlineLevel="0" collapsed="false">
      <c r="B290" s="19"/>
      <c r="E290" s="18"/>
      <c r="G290" s="19"/>
    </row>
    <row r="291" customFormat="false" ht="15" hidden="false" customHeight="false" outlineLevel="0" collapsed="false">
      <c r="B291" s="19"/>
      <c r="E291" s="18"/>
      <c r="G291" s="19"/>
    </row>
    <row r="292" customFormat="false" ht="15" hidden="false" customHeight="false" outlineLevel="0" collapsed="false">
      <c r="B292" s="19"/>
      <c r="E292" s="18"/>
      <c r="G292" s="19"/>
    </row>
    <row r="293" customFormat="false" ht="15" hidden="false" customHeight="false" outlineLevel="0" collapsed="false">
      <c r="B293" s="19"/>
      <c r="E293" s="18"/>
      <c r="G293" s="19"/>
    </row>
    <row r="294" customFormat="false" ht="15" hidden="false" customHeight="false" outlineLevel="0" collapsed="false">
      <c r="B294" s="19"/>
      <c r="E294" s="18"/>
      <c r="G294" s="19"/>
    </row>
    <row r="295" customFormat="false" ht="15" hidden="false" customHeight="false" outlineLevel="0" collapsed="false">
      <c r="B295" s="19"/>
      <c r="E295" s="18"/>
      <c r="G295" s="19"/>
    </row>
    <row r="296" customFormat="false" ht="15" hidden="false" customHeight="false" outlineLevel="0" collapsed="false">
      <c r="B296" s="19"/>
      <c r="E296" s="18"/>
      <c r="G296" s="19"/>
    </row>
    <row r="297" customFormat="false" ht="15" hidden="false" customHeight="false" outlineLevel="0" collapsed="false">
      <c r="B297" s="19"/>
      <c r="E297" s="18"/>
      <c r="G297" s="19"/>
    </row>
    <row r="298" customFormat="false" ht="15" hidden="false" customHeight="false" outlineLevel="0" collapsed="false">
      <c r="B298" s="19"/>
      <c r="E298" s="18"/>
      <c r="G298" s="19"/>
    </row>
    <row r="299" customFormat="false" ht="15" hidden="false" customHeight="false" outlineLevel="0" collapsed="false">
      <c r="B299" s="19"/>
      <c r="E299" s="18"/>
      <c r="G299" s="19"/>
    </row>
    <row r="300" customFormat="false" ht="15" hidden="false" customHeight="false" outlineLevel="0" collapsed="false">
      <c r="B300" s="19"/>
      <c r="E300" s="18"/>
      <c r="G300" s="19"/>
    </row>
    <row r="301" customFormat="false" ht="15" hidden="false" customHeight="false" outlineLevel="0" collapsed="false">
      <c r="B301" s="19"/>
      <c r="E301" s="18"/>
      <c r="G301" s="19"/>
    </row>
    <row r="302" customFormat="false" ht="15" hidden="false" customHeight="false" outlineLevel="0" collapsed="false">
      <c r="B302" s="19"/>
      <c r="E302" s="18"/>
      <c r="G302" s="19"/>
    </row>
    <row r="303" customFormat="false" ht="15" hidden="false" customHeight="false" outlineLevel="0" collapsed="false">
      <c r="B303" s="19"/>
      <c r="E303" s="18"/>
      <c r="G303" s="19"/>
    </row>
    <row r="304" customFormat="false" ht="15" hidden="false" customHeight="false" outlineLevel="0" collapsed="false">
      <c r="B304" s="19"/>
      <c r="E304" s="18"/>
      <c r="G304" s="19"/>
    </row>
    <row r="305" customFormat="false" ht="15" hidden="false" customHeight="false" outlineLevel="0" collapsed="false">
      <c r="B305" s="19"/>
      <c r="E305" s="18"/>
      <c r="G305" s="19"/>
    </row>
    <row r="306" customFormat="false" ht="15" hidden="false" customHeight="false" outlineLevel="0" collapsed="false">
      <c r="B306" s="19"/>
      <c r="E306" s="18"/>
      <c r="G306" s="19"/>
    </row>
    <row r="307" customFormat="false" ht="15" hidden="false" customHeight="false" outlineLevel="0" collapsed="false">
      <c r="B307" s="19"/>
      <c r="E307" s="18"/>
      <c r="G307" s="19"/>
    </row>
    <row r="308" customFormat="false" ht="15" hidden="false" customHeight="false" outlineLevel="0" collapsed="false">
      <c r="B308" s="19"/>
      <c r="E308" s="18"/>
      <c r="G308" s="19"/>
    </row>
    <row r="309" customFormat="false" ht="15" hidden="false" customHeight="false" outlineLevel="0" collapsed="false">
      <c r="B309" s="19"/>
      <c r="E309" s="18"/>
      <c r="G309" s="19"/>
    </row>
    <row r="310" customFormat="false" ht="15" hidden="false" customHeight="false" outlineLevel="0" collapsed="false">
      <c r="B310" s="19"/>
      <c r="E310" s="18"/>
      <c r="G310" s="19"/>
    </row>
    <row r="311" customFormat="false" ht="15" hidden="false" customHeight="false" outlineLevel="0" collapsed="false">
      <c r="B311" s="19"/>
      <c r="E311" s="18"/>
      <c r="G311" s="19"/>
    </row>
    <row r="312" customFormat="false" ht="15" hidden="false" customHeight="false" outlineLevel="0" collapsed="false">
      <c r="B312" s="19"/>
      <c r="E312" s="18"/>
      <c r="G312" s="19"/>
    </row>
    <row r="313" customFormat="false" ht="15" hidden="false" customHeight="false" outlineLevel="0" collapsed="false">
      <c r="B313" s="19"/>
      <c r="E313" s="18"/>
      <c r="G313" s="19"/>
    </row>
    <row r="314" customFormat="false" ht="15" hidden="false" customHeight="false" outlineLevel="0" collapsed="false">
      <c r="B314" s="19"/>
      <c r="E314" s="18"/>
      <c r="G314" s="19"/>
    </row>
    <row r="315" customFormat="false" ht="15" hidden="false" customHeight="false" outlineLevel="0" collapsed="false">
      <c r="B315" s="19"/>
      <c r="E315" s="18"/>
      <c r="G315" s="19"/>
    </row>
    <row r="316" customFormat="false" ht="15" hidden="false" customHeight="false" outlineLevel="0" collapsed="false">
      <c r="B316" s="19"/>
      <c r="E316" s="18"/>
      <c r="G316" s="19"/>
    </row>
    <row r="317" customFormat="false" ht="15" hidden="false" customHeight="false" outlineLevel="0" collapsed="false">
      <c r="B317" s="19"/>
      <c r="E317" s="18"/>
      <c r="G317" s="19"/>
    </row>
    <row r="318" customFormat="false" ht="15" hidden="false" customHeight="false" outlineLevel="0" collapsed="false">
      <c r="B318" s="19"/>
      <c r="E318" s="18"/>
      <c r="G318" s="19"/>
    </row>
    <row r="319" customFormat="false" ht="15" hidden="false" customHeight="false" outlineLevel="0" collapsed="false">
      <c r="B319" s="19"/>
      <c r="E319" s="18"/>
      <c r="G319" s="19"/>
    </row>
    <row r="320" customFormat="false" ht="15" hidden="false" customHeight="false" outlineLevel="0" collapsed="false">
      <c r="B320" s="19"/>
      <c r="E320" s="18"/>
      <c r="G320" s="19"/>
    </row>
    <row r="321" customFormat="false" ht="15" hidden="false" customHeight="false" outlineLevel="0" collapsed="false">
      <c r="B321" s="19"/>
      <c r="E321" s="18"/>
      <c r="G321" s="19"/>
    </row>
    <row r="322" customFormat="false" ht="15" hidden="false" customHeight="false" outlineLevel="0" collapsed="false">
      <c r="B322" s="19"/>
      <c r="E322" s="18"/>
      <c r="G322" s="19"/>
    </row>
    <row r="323" customFormat="false" ht="15" hidden="false" customHeight="false" outlineLevel="0" collapsed="false">
      <c r="B323" s="19"/>
      <c r="E323" s="18"/>
      <c r="G323" s="19"/>
    </row>
    <row r="324" customFormat="false" ht="15" hidden="false" customHeight="false" outlineLevel="0" collapsed="false">
      <c r="B324" s="19"/>
      <c r="E324" s="18"/>
      <c r="G324" s="19"/>
    </row>
    <row r="325" customFormat="false" ht="15" hidden="false" customHeight="false" outlineLevel="0" collapsed="false">
      <c r="B325" s="19"/>
      <c r="E325" s="18"/>
      <c r="G325" s="19"/>
    </row>
    <row r="326" customFormat="false" ht="15" hidden="false" customHeight="false" outlineLevel="0" collapsed="false">
      <c r="B326" s="19"/>
      <c r="E326" s="18"/>
      <c r="G326" s="19"/>
    </row>
    <row r="327" customFormat="false" ht="15" hidden="false" customHeight="false" outlineLevel="0" collapsed="false">
      <c r="B327" s="19"/>
      <c r="E327" s="18"/>
      <c r="G327" s="19"/>
    </row>
    <row r="328" customFormat="false" ht="15" hidden="false" customHeight="false" outlineLevel="0" collapsed="false">
      <c r="B328" s="19"/>
      <c r="E328" s="18"/>
      <c r="G328" s="19"/>
    </row>
    <row r="329" customFormat="false" ht="15" hidden="false" customHeight="false" outlineLevel="0" collapsed="false">
      <c r="B329" s="19"/>
      <c r="E329" s="18"/>
      <c r="G329" s="19"/>
    </row>
    <row r="330" customFormat="false" ht="15" hidden="false" customHeight="false" outlineLevel="0" collapsed="false">
      <c r="B330" s="19"/>
      <c r="E330" s="18"/>
      <c r="G330" s="19"/>
    </row>
    <row r="331" customFormat="false" ht="15" hidden="false" customHeight="false" outlineLevel="0" collapsed="false">
      <c r="B331" s="19"/>
      <c r="E331" s="18"/>
      <c r="G331" s="19"/>
    </row>
    <row r="332" customFormat="false" ht="15" hidden="false" customHeight="false" outlineLevel="0" collapsed="false">
      <c r="B332" s="19"/>
      <c r="E332" s="18"/>
      <c r="G332" s="19"/>
    </row>
    <row r="333" customFormat="false" ht="15" hidden="false" customHeight="false" outlineLevel="0" collapsed="false">
      <c r="B333" s="19"/>
      <c r="E333" s="18"/>
      <c r="G333" s="19"/>
    </row>
    <row r="334" customFormat="false" ht="15" hidden="false" customHeight="false" outlineLevel="0" collapsed="false">
      <c r="B334" s="19"/>
      <c r="E334" s="18"/>
      <c r="G334" s="19"/>
    </row>
    <row r="335" customFormat="false" ht="15" hidden="false" customHeight="false" outlineLevel="0" collapsed="false">
      <c r="B335" s="19"/>
      <c r="E335" s="18"/>
      <c r="G335" s="19"/>
    </row>
    <row r="336" customFormat="false" ht="15" hidden="false" customHeight="false" outlineLevel="0" collapsed="false">
      <c r="B336" s="19"/>
      <c r="E336" s="18"/>
      <c r="G336" s="19"/>
    </row>
    <row r="337" customFormat="false" ht="15" hidden="false" customHeight="false" outlineLevel="0" collapsed="false">
      <c r="B337" s="19"/>
      <c r="E337" s="18"/>
      <c r="G337" s="19"/>
    </row>
    <row r="338" customFormat="false" ht="15" hidden="false" customHeight="false" outlineLevel="0" collapsed="false">
      <c r="B338" s="19"/>
      <c r="E338" s="18"/>
      <c r="G338" s="19"/>
    </row>
    <row r="339" customFormat="false" ht="15" hidden="false" customHeight="false" outlineLevel="0" collapsed="false">
      <c r="B339" s="19"/>
      <c r="E339" s="18"/>
      <c r="G339" s="19"/>
    </row>
    <row r="340" customFormat="false" ht="15" hidden="false" customHeight="false" outlineLevel="0" collapsed="false">
      <c r="B340" s="19"/>
      <c r="E340" s="18"/>
      <c r="G340" s="19"/>
    </row>
    <row r="341" customFormat="false" ht="15" hidden="false" customHeight="false" outlineLevel="0" collapsed="false">
      <c r="B341" s="19"/>
      <c r="E341" s="18"/>
      <c r="G341" s="19"/>
    </row>
    <row r="342" customFormat="false" ht="15" hidden="false" customHeight="false" outlineLevel="0" collapsed="false">
      <c r="B342" s="19"/>
      <c r="E342" s="18"/>
      <c r="G342" s="19"/>
    </row>
    <row r="343" customFormat="false" ht="15" hidden="false" customHeight="false" outlineLevel="0" collapsed="false">
      <c r="B343" s="19"/>
      <c r="E343" s="18"/>
      <c r="G343" s="19"/>
    </row>
    <row r="344" customFormat="false" ht="15" hidden="false" customHeight="false" outlineLevel="0" collapsed="false">
      <c r="B344" s="19"/>
      <c r="E344" s="18"/>
      <c r="G344" s="19"/>
    </row>
    <row r="345" customFormat="false" ht="15" hidden="false" customHeight="false" outlineLevel="0" collapsed="false">
      <c r="B345" s="19"/>
      <c r="E345" s="18"/>
      <c r="G345" s="19"/>
    </row>
    <row r="346" customFormat="false" ht="15" hidden="false" customHeight="false" outlineLevel="0" collapsed="false">
      <c r="B346" s="19"/>
      <c r="E346" s="18"/>
      <c r="G346" s="19"/>
    </row>
    <row r="347" customFormat="false" ht="15" hidden="false" customHeight="false" outlineLevel="0" collapsed="false">
      <c r="B347" s="19"/>
      <c r="E347" s="18"/>
      <c r="G347" s="19"/>
    </row>
    <row r="348" customFormat="false" ht="15" hidden="false" customHeight="false" outlineLevel="0" collapsed="false">
      <c r="B348" s="19"/>
      <c r="E348" s="18"/>
      <c r="G348" s="19"/>
    </row>
    <row r="349" customFormat="false" ht="15" hidden="false" customHeight="false" outlineLevel="0" collapsed="false">
      <c r="B349" s="19"/>
      <c r="E349" s="18"/>
      <c r="G349" s="19"/>
    </row>
    <row r="350" customFormat="false" ht="15" hidden="false" customHeight="false" outlineLevel="0" collapsed="false">
      <c r="B350" s="19"/>
      <c r="E350" s="18"/>
      <c r="G350" s="19"/>
    </row>
    <row r="351" customFormat="false" ht="15" hidden="false" customHeight="false" outlineLevel="0" collapsed="false">
      <c r="B351" s="19"/>
      <c r="E351" s="18"/>
      <c r="G351" s="19"/>
    </row>
    <row r="352" customFormat="false" ht="15" hidden="false" customHeight="false" outlineLevel="0" collapsed="false">
      <c r="B352" s="19"/>
      <c r="E352" s="18"/>
      <c r="G352" s="19"/>
    </row>
    <row r="353" customFormat="false" ht="15" hidden="false" customHeight="false" outlineLevel="0" collapsed="false">
      <c r="B353" s="19"/>
      <c r="E353" s="18"/>
      <c r="G353" s="19"/>
    </row>
    <row r="354" customFormat="false" ht="15" hidden="false" customHeight="false" outlineLevel="0" collapsed="false">
      <c r="B354" s="19"/>
      <c r="E354" s="18"/>
      <c r="G354" s="19"/>
    </row>
    <row r="355" customFormat="false" ht="15" hidden="false" customHeight="false" outlineLevel="0" collapsed="false">
      <c r="B355" s="19"/>
      <c r="E355" s="18"/>
      <c r="G355" s="19"/>
    </row>
    <row r="356" customFormat="false" ht="15" hidden="false" customHeight="false" outlineLevel="0" collapsed="false">
      <c r="B356" s="19"/>
      <c r="E356" s="18"/>
      <c r="G356" s="19"/>
    </row>
    <row r="357" customFormat="false" ht="15" hidden="false" customHeight="false" outlineLevel="0" collapsed="false">
      <c r="B357" s="19"/>
      <c r="E357" s="18"/>
      <c r="G357" s="19"/>
    </row>
    <row r="358" customFormat="false" ht="15" hidden="false" customHeight="false" outlineLevel="0" collapsed="false">
      <c r="B358" s="19"/>
      <c r="E358" s="18"/>
      <c r="G358" s="19"/>
    </row>
    <row r="359" customFormat="false" ht="15" hidden="false" customHeight="false" outlineLevel="0" collapsed="false">
      <c r="B359" s="19"/>
      <c r="E359" s="18"/>
      <c r="G359" s="19"/>
    </row>
    <row r="360" customFormat="false" ht="15" hidden="false" customHeight="false" outlineLevel="0" collapsed="false">
      <c r="B360" s="19"/>
      <c r="E360" s="18"/>
      <c r="G360" s="19"/>
    </row>
    <row r="361" customFormat="false" ht="15" hidden="false" customHeight="false" outlineLevel="0" collapsed="false">
      <c r="B361" s="19"/>
      <c r="E361" s="18"/>
      <c r="G361" s="19"/>
    </row>
    <row r="362" customFormat="false" ht="15" hidden="false" customHeight="false" outlineLevel="0" collapsed="false">
      <c r="B362" s="19"/>
      <c r="E362" s="18"/>
      <c r="G362" s="19"/>
    </row>
    <row r="363" customFormat="false" ht="15" hidden="false" customHeight="false" outlineLevel="0" collapsed="false">
      <c r="B363" s="19"/>
      <c r="E363" s="18"/>
      <c r="G363" s="19"/>
    </row>
    <row r="364" customFormat="false" ht="15" hidden="false" customHeight="false" outlineLevel="0" collapsed="false">
      <c r="B364" s="19"/>
      <c r="E364" s="18"/>
      <c r="G364" s="19"/>
    </row>
    <row r="365" customFormat="false" ht="15" hidden="false" customHeight="false" outlineLevel="0" collapsed="false">
      <c r="B365" s="19"/>
      <c r="E365" s="18"/>
      <c r="G365" s="19"/>
    </row>
    <row r="366" customFormat="false" ht="15" hidden="false" customHeight="false" outlineLevel="0" collapsed="false">
      <c r="B366" s="19"/>
      <c r="E366" s="18"/>
      <c r="G366" s="19"/>
    </row>
    <row r="367" customFormat="false" ht="15" hidden="false" customHeight="false" outlineLevel="0" collapsed="false">
      <c r="B367" s="19"/>
      <c r="E367" s="18"/>
      <c r="G367" s="19"/>
    </row>
    <row r="368" customFormat="false" ht="15" hidden="false" customHeight="false" outlineLevel="0" collapsed="false">
      <c r="B368" s="19"/>
      <c r="E368" s="18"/>
      <c r="G368" s="19"/>
    </row>
    <row r="369" customFormat="false" ht="15" hidden="false" customHeight="false" outlineLevel="0" collapsed="false">
      <c r="B369" s="19"/>
      <c r="E369" s="18"/>
      <c r="G369" s="19"/>
    </row>
    <row r="370" customFormat="false" ht="15" hidden="false" customHeight="false" outlineLevel="0" collapsed="false">
      <c r="B370" s="19"/>
      <c r="E370" s="18"/>
      <c r="G370" s="19"/>
    </row>
    <row r="371" customFormat="false" ht="15" hidden="false" customHeight="false" outlineLevel="0" collapsed="false">
      <c r="B371" s="19"/>
      <c r="E371" s="18"/>
      <c r="G371" s="19"/>
    </row>
    <row r="372" customFormat="false" ht="15" hidden="false" customHeight="false" outlineLevel="0" collapsed="false">
      <c r="B372" s="19"/>
      <c r="E372" s="18"/>
      <c r="G372" s="19"/>
    </row>
    <row r="373" customFormat="false" ht="15" hidden="false" customHeight="false" outlineLevel="0" collapsed="false">
      <c r="B373" s="19"/>
      <c r="E373" s="18"/>
      <c r="G373" s="19"/>
    </row>
    <row r="374" customFormat="false" ht="15" hidden="false" customHeight="false" outlineLevel="0" collapsed="false">
      <c r="B374" s="19"/>
      <c r="E374" s="18"/>
      <c r="G374" s="19"/>
    </row>
    <row r="375" customFormat="false" ht="15" hidden="false" customHeight="false" outlineLevel="0" collapsed="false">
      <c r="B375" s="19"/>
      <c r="E375" s="18"/>
      <c r="G375" s="19"/>
    </row>
    <row r="376" customFormat="false" ht="15" hidden="false" customHeight="false" outlineLevel="0" collapsed="false">
      <c r="B376" s="19"/>
      <c r="E376" s="18"/>
      <c r="G376" s="19"/>
    </row>
    <row r="377" customFormat="false" ht="15" hidden="false" customHeight="false" outlineLevel="0" collapsed="false">
      <c r="B377" s="19"/>
      <c r="E377" s="18"/>
      <c r="G377" s="19"/>
    </row>
    <row r="378" customFormat="false" ht="15" hidden="false" customHeight="false" outlineLevel="0" collapsed="false">
      <c r="B378" s="19"/>
      <c r="E378" s="18"/>
      <c r="G378" s="19"/>
    </row>
    <row r="379" customFormat="false" ht="15" hidden="false" customHeight="false" outlineLevel="0" collapsed="false">
      <c r="B379" s="19"/>
      <c r="E379" s="18"/>
      <c r="G379" s="19"/>
    </row>
    <row r="380" customFormat="false" ht="15" hidden="false" customHeight="false" outlineLevel="0" collapsed="false">
      <c r="B380" s="19"/>
      <c r="E380" s="18"/>
      <c r="G380" s="19"/>
    </row>
    <row r="381" customFormat="false" ht="15" hidden="false" customHeight="false" outlineLevel="0" collapsed="false">
      <c r="B381" s="19"/>
      <c r="E381" s="18"/>
      <c r="G381" s="19"/>
    </row>
    <row r="382" customFormat="false" ht="15" hidden="false" customHeight="false" outlineLevel="0" collapsed="false">
      <c r="B382" s="19"/>
      <c r="E382" s="18"/>
      <c r="G382" s="19"/>
    </row>
    <row r="383" customFormat="false" ht="15" hidden="false" customHeight="false" outlineLevel="0" collapsed="false">
      <c r="B383" s="19"/>
      <c r="E383" s="18"/>
      <c r="G383" s="19"/>
    </row>
    <row r="384" customFormat="false" ht="15" hidden="false" customHeight="false" outlineLevel="0" collapsed="false">
      <c r="B384" s="19"/>
      <c r="E384" s="18"/>
      <c r="G384" s="19"/>
    </row>
    <row r="385" customFormat="false" ht="15" hidden="false" customHeight="false" outlineLevel="0" collapsed="false">
      <c r="B385" s="19"/>
      <c r="E385" s="18"/>
      <c r="G385" s="19"/>
    </row>
    <row r="386" customFormat="false" ht="15" hidden="false" customHeight="false" outlineLevel="0" collapsed="false">
      <c r="B386" s="19"/>
      <c r="E386" s="18"/>
      <c r="G386" s="19"/>
    </row>
    <row r="387" customFormat="false" ht="15" hidden="false" customHeight="false" outlineLevel="0" collapsed="false">
      <c r="B387" s="19"/>
      <c r="E387" s="18"/>
      <c r="G387" s="19"/>
    </row>
    <row r="388" customFormat="false" ht="15" hidden="false" customHeight="false" outlineLevel="0" collapsed="false">
      <c r="B388" s="19"/>
      <c r="E388" s="18"/>
      <c r="G388" s="19"/>
    </row>
    <row r="389" customFormat="false" ht="15" hidden="false" customHeight="false" outlineLevel="0" collapsed="false">
      <c r="B389" s="19"/>
      <c r="E389" s="18"/>
      <c r="G389" s="19"/>
    </row>
    <row r="390" customFormat="false" ht="15" hidden="false" customHeight="false" outlineLevel="0" collapsed="false">
      <c r="B390" s="19"/>
      <c r="E390" s="18"/>
      <c r="G390" s="19"/>
    </row>
    <row r="391" customFormat="false" ht="15" hidden="false" customHeight="false" outlineLevel="0" collapsed="false">
      <c r="B391" s="19"/>
      <c r="E391" s="18"/>
      <c r="G391" s="19"/>
    </row>
    <row r="392" customFormat="false" ht="15" hidden="false" customHeight="false" outlineLevel="0" collapsed="false">
      <c r="B392" s="19"/>
      <c r="E392" s="18"/>
      <c r="G392" s="19"/>
    </row>
    <row r="393" customFormat="false" ht="15" hidden="false" customHeight="false" outlineLevel="0" collapsed="false">
      <c r="B393" s="19"/>
      <c r="E393" s="18"/>
      <c r="G393" s="19"/>
    </row>
    <row r="394" customFormat="false" ht="15" hidden="false" customHeight="false" outlineLevel="0" collapsed="false">
      <c r="B394" s="19"/>
      <c r="E394" s="18"/>
      <c r="G394" s="19"/>
    </row>
    <row r="395" customFormat="false" ht="15" hidden="false" customHeight="false" outlineLevel="0" collapsed="false">
      <c r="B395" s="19"/>
      <c r="E395" s="18"/>
      <c r="G395" s="19"/>
    </row>
    <row r="396" customFormat="false" ht="15" hidden="false" customHeight="false" outlineLevel="0" collapsed="false">
      <c r="B396" s="19"/>
      <c r="E396" s="18"/>
      <c r="G396" s="19"/>
    </row>
    <row r="397" customFormat="false" ht="15" hidden="false" customHeight="false" outlineLevel="0" collapsed="false">
      <c r="B397" s="19"/>
      <c r="E397" s="18"/>
      <c r="G397" s="19"/>
    </row>
    <row r="398" customFormat="false" ht="15" hidden="false" customHeight="false" outlineLevel="0" collapsed="false">
      <c r="B398" s="19"/>
      <c r="E398" s="18"/>
      <c r="G398" s="19"/>
    </row>
    <row r="399" customFormat="false" ht="15" hidden="false" customHeight="false" outlineLevel="0" collapsed="false">
      <c r="B399" s="19"/>
      <c r="E399" s="18"/>
      <c r="G399" s="19"/>
    </row>
    <row r="400" customFormat="false" ht="15" hidden="false" customHeight="false" outlineLevel="0" collapsed="false">
      <c r="B400" s="19"/>
      <c r="E400" s="18"/>
      <c r="G400" s="19"/>
    </row>
    <row r="401" customFormat="false" ht="15" hidden="false" customHeight="false" outlineLevel="0" collapsed="false">
      <c r="B401" s="19"/>
      <c r="E401" s="18"/>
      <c r="G40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19.5" hidden="false" customHeight="true" outlineLevel="0" collapsed="false">
      <c r="A1" s="10" t="s">
        <v>50</v>
      </c>
      <c r="B1" s="10" t="s">
        <v>51</v>
      </c>
      <c r="C1" s="10" t="s">
        <v>52</v>
      </c>
      <c r="D1" s="10" t="s">
        <v>53</v>
      </c>
      <c r="E1" s="10" t="s">
        <v>54</v>
      </c>
      <c r="F1" s="10" t="s">
        <v>55</v>
      </c>
      <c r="G1" s="10" t="s">
        <v>56</v>
      </c>
    </row>
    <row r="2" customFormat="false" ht="15" hidden="false" customHeight="false" outlineLevel="0" collapsed="false">
      <c r="A2" s="2"/>
      <c r="B2" s="12"/>
      <c r="C2" s="12"/>
      <c r="D2" s="15"/>
      <c r="E2" s="13" t="str">
        <f aca="false">IF(A2="","",IFERROR(C2/B2,0))</f>
        <v/>
      </c>
      <c r="F2" s="12" t="str">
        <f aca="false">IF(A2="","",MAX(B2-C2,0))</f>
        <v/>
      </c>
      <c r="G2" s="12" t="str">
        <f aca="true">IF(OR(A2="",D2=""),"",IFERROR(F2/(DATEDIF(TODAY(),D2,"m")+1),F2))</f>
        <v/>
      </c>
    </row>
    <row r="3" customFormat="false" ht="15" hidden="false" customHeight="false" outlineLevel="0" collapsed="false">
      <c r="A3" s="2"/>
      <c r="B3" s="12"/>
      <c r="C3" s="12"/>
      <c r="D3" s="15"/>
      <c r="E3" s="13" t="str">
        <f aca="false">IF(A3="","",IFERROR(C3/B3,0))</f>
        <v/>
      </c>
      <c r="F3" s="12" t="str">
        <f aca="false">IF(A3="","",MAX(B3-C3,0))</f>
        <v/>
      </c>
      <c r="G3" s="12" t="str">
        <f aca="true">IF(OR(A3="",D3=""),"",IFERROR(F3/(DATEDIF(TODAY(),D3,"m")+1),F3))</f>
        <v/>
      </c>
    </row>
    <row r="4" customFormat="false" ht="15" hidden="false" customHeight="false" outlineLevel="0" collapsed="false">
      <c r="A4" s="2"/>
      <c r="B4" s="12"/>
      <c r="C4" s="12"/>
      <c r="D4" s="15"/>
      <c r="E4" s="13" t="str">
        <f aca="false">IF(A4="","",IFERROR(C4/B4,0))</f>
        <v/>
      </c>
      <c r="F4" s="12" t="str">
        <f aca="false">IF(A4="","",MAX(B4-C4,0))</f>
        <v/>
      </c>
      <c r="G4" s="12" t="str">
        <f aca="true">IF(OR(A4="",D4=""),"",IFERROR(F4/(DATEDIF(TODAY(),D4,"m")+1),F4))</f>
        <v/>
      </c>
    </row>
    <row r="5" customFormat="false" ht="15" hidden="false" customHeight="false" outlineLevel="0" collapsed="false">
      <c r="A5" s="2"/>
      <c r="B5" s="12"/>
      <c r="C5" s="12"/>
      <c r="D5" s="15"/>
      <c r="E5" s="13" t="str">
        <f aca="false">IF(A5="","",IFERROR(C5/B5,0))</f>
        <v/>
      </c>
      <c r="F5" s="12" t="str">
        <f aca="false">IF(A5="","",MAX(B5-C5,0))</f>
        <v/>
      </c>
      <c r="G5" s="12" t="str">
        <f aca="true">IF(OR(A5="",D5=""),"",IFERROR(F5/(DATEDIF(TODAY(),D5,"m")+1),F5))</f>
        <v/>
      </c>
    </row>
    <row r="6" customFormat="false" ht="15" hidden="false" customHeight="false" outlineLevel="0" collapsed="false">
      <c r="A6" s="2"/>
      <c r="B6" s="12"/>
      <c r="C6" s="12"/>
      <c r="D6" s="15"/>
      <c r="E6" s="13" t="str">
        <f aca="false">IF(A6="","",IFERROR(C6/B6,0))</f>
        <v/>
      </c>
      <c r="F6" s="12" t="str">
        <f aca="false">IF(A6="","",MAX(B6-C6,0))</f>
        <v/>
      </c>
      <c r="G6" s="12" t="str">
        <f aca="true">IF(OR(A6="",D6=""),"",IFERROR(F6/(DATEDIF(TODAY(),D6,"m")+1),F6))</f>
        <v/>
      </c>
    </row>
    <row r="7" customFormat="false" ht="15" hidden="false" customHeight="false" outlineLevel="0" collapsed="false">
      <c r="A7" s="2"/>
      <c r="B7" s="12"/>
      <c r="C7" s="12"/>
      <c r="D7" s="15"/>
      <c r="E7" s="13" t="str">
        <f aca="false">IF(A7="","",IFERROR(C7/B7,0))</f>
        <v/>
      </c>
      <c r="F7" s="12" t="str">
        <f aca="false">IF(A7="","",MAX(B7-C7,0))</f>
        <v/>
      </c>
      <c r="G7" s="12" t="str">
        <f aca="true">IF(OR(A7="",D7=""),"",IFERROR(F7/(DATEDIF(TODAY(),D7,"m")+1),F7))</f>
        <v/>
      </c>
    </row>
    <row r="8" customFormat="false" ht="15" hidden="false" customHeight="false" outlineLevel="0" collapsed="false">
      <c r="A8" s="2"/>
      <c r="B8" s="12"/>
      <c r="C8" s="12"/>
      <c r="D8" s="15"/>
      <c r="E8" s="13" t="str">
        <f aca="false">IF(A8="","",IFERROR(C8/B8,0))</f>
        <v/>
      </c>
      <c r="F8" s="12" t="str">
        <f aca="false">IF(A8="","",MAX(B8-C8,0))</f>
        <v/>
      </c>
      <c r="G8" s="12" t="str">
        <f aca="true">IF(OR(A8="",D8=""),"",IFERROR(F8/(DATEDIF(TODAY(),D8,"m")+1),F8))</f>
        <v/>
      </c>
    </row>
    <row r="9" customFormat="false" ht="15" hidden="false" customHeight="false" outlineLevel="0" collapsed="false">
      <c r="A9" s="2"/>
      <c r="B9" s="12"/>
      <c r="C9" s="12"/>
      <c r="D9" s="15"/>
      <c r="E9" s="13" t="str">
        <f aca="false">IF(A9="","",IFERROR(C9/B9,0))</f>
        <v/>
      </c>
      <c r="F9" s="12" t="str">
        <f aca="false">IF(A9="","",MAX(B9-C9,0))</f>
        <v/>
      </c>
      <c r="G9" s="12" t="str">
        <f aca="true">IF(OR(A9="",D9=""),"",IFERROR(F9/(DATEDIF(TODAY(),D9,"m")+1),F9))</f>
        <v/>
      </c>
    </row>
    <row r="10" customFormat="false" ht="15" hidden="false" customHeight="false" outlineLevel="0" collapsed="false">
      <c r="A10" s="2"/>
      <c r="B10" s="12"/>
      <c r="C10" s="12"/>
      <c r="D10" s="15"/>
      <c r="E10" s="13" t="str">
        <f aca="false">IF(A10="","",IFERROR(C10/B10,0))</f>
        <v/>
      </c>
      <c r="F10" s="12" t="str">
        <f aca="false">IF(A10="","",MAX(B10-C10,0))</f>
        <v/>
      </c>
      <c r="G10" s="12" t="str">
        <f aca="true">IF(OR(A10="",D10=""),"",IFERROR(F10/(DATEDIF(TODAY(),D10,"m")+1),F10))</f>
        <v/>
      </c>
    </row>
    <row r="11" customFormat="false" ht="15" hidden="false" customHeight="false" outlineLevel="0" collapsed="false">
      <c r="A11" s="2"/>
      <c r="B11" s="12"/>
      <c r="C11" s="12"/>
      <c r="D11" s="15"/>
      <c r="E11" s="13" t="str">
        <f aca="false">IF(A11="","",IFERROR(C11/B11,0))</f>
        <v/>
      </c>
      <c r="F11" s="12" t="str">
        <f aca="false">IF(A11="","",MAX(B11-C11,0))</f>
        <v/>
      </c>
      <c r="G11" s="12" t="str">
        <f aca="true">IF(OR(A11="",D11=""),"",IFERROR(F11/(DATEDIF(TODAY(),D11,"m")+1),F11))</f>
        <v/>
      </c>
    </row>
    <row r="12" customFormat="false" ht="15" hidden="false" customHeight="false" outlineLevel="0" collapsed="false">
      <c r="A12" s="2"/>
      <c r="B12" s="12"/>
      <c r="C12" s="12"/>
      <c r="D12" s="15"/>
      <c r="E12" s="13" t="str">
        <f aca="false">IF(A12="","",IFERROR(C12/B12,0))</f>
        <v/>
      </c>
      <c r="F12" s="12" t="str">
        <f aca="false">IF(A12="","",MAX(B12-C12,0))</f>
        <v/>
      </c>
      <c r="G12" s="12" t="str">
        <f aca="true">IF(OR(A12="",D12=""),"",IFERROR(F12/(DATEDIF(TODAY(),D12,"m")+1),F12))</f>
        <v/>
      </c>
    </row>
    <row r="13" customFormat="false" ht="15" hidden="false" customHeight="false" outlineLevel="0" collapsed="false">
      <c r="A13" s="2"/>
      <c r="B13" s="12"/>
      <c r="C13" s="12"/>
      <c r="D13" s="15"/>
      <c r="E13" s="13" t="str">
        <f aca="false">IF(A13="","",IFERROR(C13/B13,0))</f>
        <v/>
      </c>
      <c r="F13" s="12" t="str">
        <f aca="false">IF(A13="","",MAX(B13-C13,0))</f>
        <v/>
      </c>
      <c r="G13" s="12" t="str">
        <f aca="true">IF(OR(A13="",D13=""),"",IFERROR(F13/(DATEDIF(TODAY(),D13,"m")+1),F13))</f>
        <v/>
      </c>
    </row>
    <row r="14" customFormat="false" ht="15" hidden="false" customHeight="false" outlineLevel="0" collapsed="false">
      <c r="A14" s="2"/>
      <c r="B14" s="12"/>
      <c r="C14" s="12"/>
      <c r="D14" s="15"/>
      <c r="E14" s="13" t="str">
        <f aca="false">IF(A14="","",IFERROR(C14/B14,0))</f>
        <v/>
      </c>
      <c r="F14" s="12" t="str">
        <f aca="false">IF(A14="","",MAX(B14-C14,0))</f>
        <v/>
      </c>
      <c r="G14" s="12" t="str">
        <f aca="true">IF(OR(A14="",D14=""),"",IFERROR(F14/(DATEDIF(TODAY(),D14,"m")+1),F14))</f>
        <v/>
      </c>
    </row>
    <row r="15" customFormat="false" ht="15" hidden="false" customHeight="false" outlineLevel="0" collapsed="false">
      <c r="A15" s="2"/>
      <c r="B15" s="12"/>
      <c r="C15" s="12"/>
      <c r="D15" s="15"/>
      <c r="E15" s="13" t="str">
        <f aca="false">IF(A15="","",IFERROR(C15/B15,0))</f>
        <v/>
      </c>
      <c r="F15" s="12" t="str">
        <f aca="false">IF(A15="","",MAX(B15-C15,0))</f>
        <v/>
      </c>
      <c r="G15" s="12" t="str">
        <f aca="true">IF(OR(A15="",D15=""),"",IFERROR(F15/(DATEDIF(TODAY(),D15,"m")+1),F15))</f>
        <v/>
      </c>
    </row>
    <row r="16" customFormat="false" ht="15" hidden="false" customHeight="false" outlineLevel="0" collapsed="false">
      <c r="A16" s="2"/>
      <c r="B16" s="12"/>
      <c r="C16" s="12"/>
      <c r="D16" s="15"/>
      <c r="E16" s="13" t="str">
        <f aca="false">IF(A16="","",IFERROR(C16/B16,0))</f>
        <v/>
      </c>
      <c r="F16" s="12" t="str">
        <f aca="false">IF(A16="","",MAX(B16-C16,0))</f>
        <v/>
      </c>
      <c r="G16" s="12" t="str">
        <f aca="true">IF(OR(A16="",D16=""),"",IFERROR(F16/(DATEDIF(TODAY(),D16,"m")+1),F16))</f>
        <v/>
      </c>
    </row>
    <row r="17" customFormat="false" ht="15" hidden="false" customHeight="false" outlineLevel="0" collapsed="false">
      <c r="A17" s="2"/>
      <c r="B17" s="12"/>
      <c r="C17" s="12"/>
      <c r="D17" s="15"/>
      <c r="E17" s="13" t="str">
        <f aca="false">IF(A17="","",IFERROR(C17/B17,0))</f>
        <v/>
      </c>
      <c r="F17" s="12" t="str">
        <f aca="false">IF(A17="","",MAX(B17-C17,0))</f>
        <v/>
      </c>
      <c r="G17" s="12" t="str">
        <f aca="true">IF(OR(A17="",D17=""),"",IFERROR(F17/(DATEDIF(TODAY(),D17,"m")+1),F17))</f>
        <v/>
      </c>
    </row>
    <row r="18" customFormat="false" ht="15" hidden="false" customHeight="false" outlineLevel="0" collapsed="false">
      <c r="A18" s="2"/>
      <c r="B18" s="12"/>
      <c r="C18" s="12"/>
      <c r="D18" s="15"/>
      <c r="E18" s="13" t="str">
        <f aca="false">IF(A18="","",IFERROR(C18/B18,0))</f>
        <v/>
      </c>
      <c r="F18" s="12" t="str">
        <f aca="false">IF(A18="","",MAX(B18-C18,0))</f>
        <v/>
      </c>
      <c r="G18" s="12" t="str">
        <f aca="true">IF(OR(A18="",D18=""),"",IFERROR(F18/(DATEDIF(TODAY(),D18,"m")+1),F18))</f>
        <v/>
      </c>
    </row>
    <row r="19" customFormat="false" ht="15" hidden="false" customHeight="false" outlineLevel="0" collapsed="false">
      <c r="A19" s="2"/>
      <c r="B19" s="12"/>
      <c r="C19" s="12"/>
      <c r="D19" s="15"/>
      <c r="E19" s="13" t="str">
        <f aca="false">IF(A19="","",IFERROR(C19/B19,0))</f>
        <v/>
      </c>
      <c r="F19" s="12" t="str">
        <f aca="false">IF(A19="","",MAX(B19-C19,0))</f>
        <v/>
      </c>
      <c r="G19" s="12" t="str">
        <f aca="true">IF(OR(A19="",D19=""),"",IFERROR(F19/(DATEDIF(TODAY(),D19,"m")+1),F19))</f>
        <v/>
      </c>
    </row>
    <row r="20" customFormat="false" ht="15" hidden="false" customHeight="false" outlineLevel="0" collapsed="false">
      <c r="A20" s="2"/>
      <c r="B20" s="12"/>
      <c r="C20" s="12"/>
      <c r="D20" s="15"/>
      <c r="E20" s="13" t="str">
        <f aca="false">IF(A20="","",IFERROR(C20/B20,0))</f>
        <v/>
      </c>
      <c r="F20" s="12" t="str">
        <f aca="false">IF(A20="","",MAX(B20-C20,0))</f>
        <v/>
      </c>
      <c r="G20" s="12" t="str">
        <f aca="true">IF(OR(A20="",D20=""),"",IFERROR(F20/(DATEDIF(TODAY(),D20,"m")+1),F20))</f>
        <v/>
      </c>
    </row>
    <row r="21" customFormat="false" ht="15" hidden="false" customHeight="false" outlineLevel="0" collapsed="false">
      <c r="B21" s="19"/>
      <c r="C21" s="19"/>
      <c r="D21" s="20"/>
      <c r="E21" s="22" t="str">
        <f aca="false">IF(A21="","",IFERROR(C21/B21,0))</f>
        <v/>
      </c>
      <c r="F21" s="19" t="str">
        <f aca="false">IF(A21="","",MAX(B21-C21,0))</f>
        <v/>
      </c>
      <c r="G21" s="19" t="str">
        <f aca="true">IF(OR(A21="",D21=""),"",IFERROR(F21/(DATEDIF(TODAY(),D21,"m")+1),F21))</f>
        <v/>
      </c>
    </row>
    <row r="22" customFormat="false" ht="15" hidden="false" customHeight="false" outlineLevel="0" collapsed="false">
      <c r="B22" s="19"/>
      <c r="C22" s="19"/>
      <c r="D22" s="20"/>
      <c r="E22" s="22" t="str">
        <f aca="false">IF(A22="","",IFERROR(C22/B22,0))</f>
        <v/>
      </c>
      <c r="F22" s="19" t="str">
        <f aca="false">IF(A22="","",MAX(B22-C22,0))</f>
        <v/>
      </c>
      <c r="G22" s="19" t="str">
        <f aca="true">IF(OR(A22="",D22=""),"",IFERROR(F22/(DATEDIF(TODAY(),D22,"m")+1),F22))</f>
        <v/>
      </c>
    </row>
    <row r="23" customFormat="false" ht="15" hidden="false" customHeight="false" outlineLevel="0" collapsed="false">
      <c r="B23" s="19"/>
      <c r="C23" s="19"/>
      <c r="D23" s="20"/>
      <c r="E23" s="22" t="str">
        <f aca="false">IF(A23="","",IFERROR(C23/B23,0))</f>
        <v/>
      </c>
      <c r="F23" s="19" t="str">
        <f aca="false">IF(A23="","",MAX(B23-C23,0))</f>
        <v/>
      </c>
      <c r="G23" s="19" t="str">
        <f aca="true">IF(OR(A23="",D23=""),"",IFERROR(F23/(DATEDIF(TODAY(),D23,"m")+1),F23))</f>
        <v/>
      </c>
    </row>
    <row r="24" customFormat="false" ht="15" hidden="false" customHeight="false" outlineLevel="0" collapsed="false">
      <c r="B24" s="19"/>
      <c r="C24" s="19"/>
      <c r="D24" s="20"/>
      <c r="E24" s="22" t="str">
        <f aca="false">IF(A24="","",IFERROR(C24/B24,0))</f>
        <v/>
      </c>
      <c r="F24" s="19" t="str">
        <f aca="false">IF(A24="","",MAX(B24-C24,0))</f>
        <v/>
      </c>
      <c r="G24" s="19" t="str">
        <f aca="true">IF(OR(A24="",D24=""),"",IFERROR(F24/(DATEDIF(TODAY(),D24,"m")+1),F24))</f>
        <v/>
      </c>
    </row>
    <row r="25" customFormat="false" ht="15" hidden="false" customHeight="false" outlineLevel="0" collapsed="false">
      <c r="B25" s="19"/>
      <c r="C25" s="19"/>
      <c r="D25" s="20"/>
      <c r="E25" s="22" t="str">
        <f aca="false">IF(A25="","",IFERROR(C25/B25,0))</f>
        <v/>
      </c>
      <c r="F25" s="19" t="str">
        <f aca="false">IF(A25="","",MAX(B25-C25,0))</f>
        <v/>
      </c>
      <c r="G25" s="19" t="str">
        <f aca="true">IF(OR(A25="",D25=""),"",IFERROR(F25/(DATEDIF(TODAY(),D25,"m")+1),F25))</f>
        <v/>
      </c>
    </row>
    <row r="26" customFormat="false" ht="15" hidden="false" customHeight="false" outlineLevel="0" collapsed="false">
      <c r="B26" s="19"/>
      <c r="C26" s="19"/>
      <c r="D26" s="20"/>
      <c r="E26" s="22" t="str">
        <f aca="false">IF(A26="","",IFERROR(C26/B26,0))</f>
        <v/>
      </c>
      <c r="F26" s="19" t="str">
        <f aca="false">IF(A26="","",MAX(B26-C26,0))</f>
        <v/>
      </c>
      <c r="G26" s="19" t="str">
        <f aca="true">IF(OR(A26="",D26=""),"",IFERROR(F26/(DATEDIF(TODAY(),D26,"m")+1),F26))</f>
        <v/>
      </c>
    </row>
    <row r="27" customFormat="false" ht="15" hidden="false" customHeight="false" outlineLevel="0" collapsed="false">
      <c r="B27" s="19"/>
      <c r="C27" s="19"/>
      <c r="D27" s="20"/>
      <c r="E27" s="22" t="str">
        <f aca="false">IF(A27="","",IFERROR(C27/B27,0))</f>
        <v/>
      </c>
      <c r="F27" s="19" t="str">
        <f aca="false">IF(A27="","",MAX(B27-C27,0))</f>
        <v/>
      </c>
      <c r="G27" s="19" t="str">
        <f aca="true">IF(OR(A27="",D27=""),"",IFERROR(F27/(DATEDIF(TODAY(),D27,"m")+1),F27))</f>
        <v/>
      </c>
    </row>
    <row r="28" customFormat="false" ht="15" hidden="false" customHeight="false" outlineLevel="0" collapsed="false">
      <c r="B28" s="19"/>
      <c r="C28" s="19"/>
      <c r="D28" s="20"/>
      <c r="E28" s="22" t="str">
        <f aca="false">IF(A28="","",IFERROR(C28/B28,0))</f>
        <v/>
      </c>
      <c r="F28" s="19" t="str">
        <f aca="false">IF(A28="","",MAX(B28-C28,0))</f>
        <v/>
      </c>
      <c r="G28" s="19" t="str">
        <f aca="true">IF(OR(A28="",D28=""),"",IFERROR(F28/(DATEDIF(TODAY(),D28,"m")+1),F28))</f>
        <v/>
      </c>
    </row>
    <row r="29" customFormat="false" ht="15" hidden="false" customHeight="false" outlineLevel="0" collapsed="false">
      <c r="B29" s="19"/>
      <c r="C29" s="19"/>
      <c r="D29" s="20"/>
      <c r="E29" s="22" t="str">
        <f aca="false">IF(A29="","",IFERROR(C29/B29,0))</f>
        <v/>
      </c>
      <c r="F29" s="19" t="str">
        <f aca="false">IF(A29="","",MAX(B29-C29,0))</f>
        <v/>
      </c>
      <c r="G29" s="19" t="str">
        <f aca="true">IF(OR(A29="",D29=""),"",IFERROR(F29/(DATEDIF(TODAY(),D29,"m")+1),F29))</f>
        <v/>
      </c>
    </row>
    <row r="30" customFormat="false" ht="15" hidden="false" customHeight="false" outlineLevel="0" collapsed="false">
      <c r="B30" s="19"/>
      <c r="C30" s="19"/>
      <c r="D30" s="20"/>
      <c r="E30" s="22" t="str">
        <f aca="false">IF(A30="","",IFERROR(C30/B30,0))</f>
        <v/>
      </c>
      <c r="F30" s="19" t="str">
        <f aca="false">IF(A30="","",MAX(B30-C30,0))</f>
        <v/>
      </c>
      <c r="G30" s="19" t="str">
        <f aca="true">IF(OR(A30="",D30=""),"",IFERROR(F30/(DATEDIF(TODAY(),D30,"m")+1),F30))</f>
        <v/>
      </c>
    </row>
    <row r="31" customFormat="false" ht="15" hidden="false" customHeight="false" outlineLevel="0" collapsed="false">
      <c r="B31" s="19"/>
      <c r="C31" s="19"/>
      <c r="D31" s="20"/>
      <c r="E31" s="22" t="str">
        <f aca="false">IF(A31="","",IFERROR(C31/B31,0))</f>
        <v/>
      </c>
      <c r="F31" s="19" t="str">
        <f aca="false">IF(A31="","",MAX(B31-C31,0))</f>
        <v/>
      </c>
      <c r="G31" s="19" t="str">
        <f aca="true">IF(OR(A31="",D31=""),"",IFERROR(F31/(DATEDIF(TODAY(),D31,"m")+1),F31))</f>
        <v/>
      </c>
    </row>
    <row r="32" customFormat="false" ht="15" hidden="false" customHeight="false" outlineLevel="0" collapsed="false">
      <c r="B32" s="19"/>
      <c r="C32" s="19"/>
      <c r="D32" s="20"/>
      <c r="E32" s="22" t="str">
        <f aca="false">IF(A32="","",IFERROR(C32/B32,0))</f>
        <v/>
      </c>
      <c r="F32" s="19" t="str">
        <f aca="false">IF(A32="","",MAX(B32-C32,0))</f>
        <v/>
      </c>
      <c r="G32" s="19" t="str">
        <f aca="true">IF(OR(A32="",D32=""),"",IFERROR(F32/(DATEDIF(TODAY(),D32,"m")+1),F32))</f>
        <v/>
      </c>
    </row>
    <row r="33" customFormat="false" ht="15" hidden="false" customHeight="false" outlineLevel="0" collapsed="false">
      <c r="B33" s="19"/>
      <c r="C33" s="19"/>
      <c r="D33" s="20"/>
      <c r="E33" s="22" t="str">
        <f aca="false">IF(A33="","",IFERROR(C33/B33,0))</f>
        <v/>
      </c>
      <c r="F33" s="19" t="str">
        <f aca="false">IF(A33="","",MAX(B33-C33,0))</f>
        <v/>
      </c>
      <c r="G33" s="19" t="str">
        <f aca="true">IF(OR(A33="",D33=""),"",IFERROR(F33/(DATEDIF(TODAY(),D33,"m")+1),F33))</f>
        <v/>
      </c>
    </row>
    <row r="34" customFormat="false" ht="15" hidden="false" customHeight="false" outlineLevel="0" collapsed="false">
      <c r="B34" s="19"/>
      <c r="C34" s="19"/>
      <c r="D34" s="20"/>
      <c r="E34" s="22" t="str">
        <f aca="false">IF(A34="","",IFERROR(C34/B34,0))</f>
        <v/>
      </c>
      <c r="F34" s="19" t="str">
        <f aca="false">IF(A34="","",MAX(B34-C34,0))</f>
        <v/>
      </c>
      <c r="G34" s="19" t="str">
        <f aca="true">IF(OR(A34="",D34=""),"",IFERROR(F34/(DATEDIF(TODAY(),D34,"m")+1),F34))</f>
        <v/>
      </c>
    </row>
    <row r="35" customFormat="false" ht="15" hidden="false" customHeight="false" outlineLevel="0" collapsed="false">
      <c r="B35" s="19"/>
      <c r="C35" s="19"/>
      <c r="D35" s="20"/>
      <c r="E35" s="22" t="str">
        <f aca="false">IF(A35="","",IFERROR(C35/B35,0))</f>
        <v/>
      </c>
      <c r="F35" s="19" t="str">
        <f aca="false">IF(A35="","",MAX(B35-C35,0))</f>
        <v/>
      </c>
      <c r="G35" s="19" t="str">
        <f aca="true">IF(OR(A35="",D35=""),"",IFERROR(F35/(DATEDIF(TODAY(),D35,"m")+1),F35))</f>
        <v/>
      </c>
    </row>
    <row r="36" customFormat="false" ht="15" hidden="false" customHeight="false" outlineLevel="0" collapsed="false">
      <c r="B36" s="19"/>
      <c r="C36" s="19"/>
      <c r="D36" s="20"/>
      <c r="E36" s="22" t="str">
        <f aca="false">IF(A36="","",IFERROR(C36/B36,0))</f>
        <v/>
      </c>
      <c r="F36" s="19" t="str">
        <f aca="false">IF(A36="","",MAX(B36-C36,0))</f>
        <v/>
      </c>
      <c r="G36" s="19" t="str">
        <f aca="true">IF(OR(A36="",D36=""),"",IFERROR(F36/(DATEDIF(TODAY(),D36,"m")+1),F36))</f>
        <v/>
      </c>
    </row>
    <row r="37" customFormat="false" ht="15" hidden="false" customHeight="false" outlineLevel="0" collapsed="false">
      <c r="B37" s="19"/>
      <c r="C37" s="19"/>
      <c r="D37" s="20"/>
      <c r="E37" s="22" t="str">
        <f aca="false">IF(A37="","",IFERROR(C37/B37,0))</f>
        <v/>
      </c>
      <c r="F37" s="19" t="str">
        <f aca="false">IF(A37="","",MAX(B37-C37,0))</f>
        <v/>
      </c>
      <c r="G37" s="19" t="str">
        <f aca="true">IF(OR(A37="",D37=""),"",IFERROR(F37/(DATEDIF(TODAY(),D37,"m")+1),F37))</f>
        <v/>
      </c>
    </row>
    <row r="38" customFormat="false" ht="15" hidden="false" customHeight="false" outlineLevel="0" collapsed="false">
      <c r="B38" s="19"/>
      <c r="C38" s="19"/>
      <c r="D38" s="20"/>
      <c r="E38" s="22" t="str">
        <f aca="false">IF(A38="","",IFERROR(C38/B38,0))</f>
        <v/>
      </c>
      <c r="F38" s="19" t="str">
        <f aca="false">IF(A38="","",MAX(B38-C38,0))</f>
        <v/>
      </c>
      <c r="G38" s="19" t="str">
        <f aca="true">IF(OR(A38="",D38=""),"",IFERROR(F38/(DATEDIF(TODAY(),D38,"m")+1),F38))</f>
        <v/>
      </c>
    </row>
    <row r="39" customFormat="false" ht="15" hidden="false" customHeight="false" outlineLevel="0" collapsed="false">
      <c r="B39" s="19"/>
      <c r="C39" s="19"/>
      <c r="D39" s="20"/>
      <c r="E39" s="22" t="str">
        <f aca="false">IF(A39="","",IFERROR(C39/B39,0))</f>
        <v/>
      </c>
      <c r="F39" s="19" t="str">
        <f aca="false">IF(A39="","",MAX(B39-C39,0))</f>
        <v/>
      </c>
      <c r="G39" s="19" t="str">
        <f aca="true">IF(OR(A39="",D39=""),"",IFERROR(F39/(DATEDIF(TODAY(),D39,"m")+1),F39))</f>
        <v/>
      </c>
    </row>
    <row r="40" customFormat="false" ht="15" hidden="false" customHeight="false" outlineLevel="0" collapsed="false">
      <c r="B40" s="19"/>
      <c r="C40" s="19"/>
      <c r="D40" s="20"/>
      <c r="E40" s="22" t="str">
        <f aca="false">IF(A40="","",IFERROR(C40/B40,0))</f>
        <v/>
      </c>
      <c r="F40" s="19" t="str">
        <f aca="false">IF(A40="","",MAX(B40-C40,0))</f>
        <v/>
      </c>
      <c r="G40" s="19" t="str">
        <f aca="true">IF(OR(A40="",D40=""),"",IFERROR(F40/(DATEDIF(TODAY(),D40,"m")+1),F40))</f>
        <v/>
      </c>
    </row>
    <row r="41" customFormat="false" ht="15" hidden="false" customHeight="false" outlineLevel="0" collapsed="false">
      <c r="B41" s="19"/>
      <c r="C41" s="19"/>
      <c r="D41" s="20"/>
      <c r="E41" s="22" t="str">
        <f aca="false">IF(A41="","",IFERROR(C41/B41,0))</f>
        <v/>
      </c>
      <c r="F41" s="19" t="str">
        <f aca="false">IF(A41="","",MAX(B41-C41,0))</f>
        <v/>
      </c>
      <c r="G41" s="19" t="str">
        <f aca="true">IF(OR(A41="",D41=""),"",IFERROR(F41/(DATEDIF(TODAY(),D41,"m")+1),F41))</f>
        <v/>
      </c>
    </row>
    <row r="42" customFormat="false" ht="15" hidden="false" customHeight="false" outlineLevel="0" collapsed="false">
      <c r="B42" s="19"/>
      <c r="C42" s="19"/>
      <c r="D42" s="20"/>
      <c r="E42" s="22" t="str">
        <f aca="false">IF(A42="","",IFERROR(C42/B42,0))</f>
        <v/>
      </c>
      <c r="F42" s="19" t="str">
        <f aca="false">IF(A42="","",MAX(B42-C42,0))</f>
        <v/>
      </c>
      <c r="G42" s="19" t="str">
        <f aca="true">IF(OR(A42="",D42=""),"",IFERROR(F42/(DATEDIF(TODAY(),D42,"m")+1),F42))</f>
        <v/>
      </c>
    </row>
    <row r="43" customFormat="false" ht="15" hidden="false" customHeight="false" outlineLevel="0" collapsed="false">
      <c r="B43" s="19"/>
      <c r="C43" s="19"/>
      <c r="D43" s="20"/>
      <c r="E43" s="22" t="str">
        <f aca="false">IF(A43="","",IFERROR(C43/B43,0))</f>
        <v/>
      </c>
      <c r="F43" s="19" t="str">
        <f aca="false">IF(A43="","",MAX(B43-C43,0))</f>
        <v/>
      </c>
      <c r="G43" s="19" t="str">
        <f aca="true">IF(OR(A43="",D43=""),"",IFERROR(F43/(DATEDIF(TODAY(),D43,"m")+1),F43))</f>
        <v/>
      </c>
    </row>
    <row r="44" customFormat="false" ht="15" hidden="false" customHeight="false" outlineLevel="0" collapsed="false">
      <c r="B44" s="19"/>
      <c r="C44" s="19"/>
      <c r="D44" s="20"/>
      <c r="E44" s="22" t="str">
        <f aca="false">IF(A44="","",IFERROR(C44/B44,0))</f>
        <v/>
      </c>
      <c r="F44" s="19" t="str">
        <f aca="false">IF(A44="","",MAX(B44-C44,0))</f>
        <v/>
      </c>
      <c r="G44" s="19" t="str">
        <f aca="true">IF(OR(A44="",D44=""),"",IFERROR(F44/(DATEDIF(TODAY(),D44,"m")+1),F44))</f>
        <v/>
      </c>
    </row>
    <row r="45" customFormat="false" ht="15" hidden="false" customHeight="false" outlineLevel="0" collapsed="false">
      <c r="B45" s="19"/>
      <c r="C45" s="19"/>
      <c r="D45" s="20"/>
      <c r="E45" s="22" t="str">
        <f aca="false">IF(A45="","",IFERROR(C45/B45,0))</f>
        <v/>
      </c>
      <c r="F45" s="19" t="str">
        <f aca="false">IF(A45="","",MAX(B45-C45,0))</f>
        <v/>
      </c>
      <c r="G45" s="19" t="str">
        <f aca="true">IF(OR(A45="",D45=""),"",IFERROR(F45/(DATEDIF(TODAY(),D45,"m")+1),F45))</f>
        <v/>
      </c>
    </row>
    <row r="46" customFormat="false" ht="15" hidden="false" customHeight="false" outlineLevel="0" collapsed="false">
      <c r="B46" s="19"/>
      <c r="C46" s="19"/>
      <c r="D46" s="20"/>
      <c r="E46" s="22" t="str">
        <f aca="false">IF(A46="","",IFERROR(C46/B46,0))</f>
        <v/>
      </c>
      <c r="F46" s="19" t="str">
        <f aca="false">IF(A46="","",MAX(B46-C46,0))</f>
        <v/>
      </c>
      <c r="G46" s="19" t="str">
        <f aca="true">IF(OR(A46="",D46=""),"",IFERROR(F46/(DATEDIF(TODAY(),D46,"m")+1),F46))</f>
        <v/>
      </c>
    </row>
    <row r="47" customFormat="false" ht="15" hidden="false" customHeight="false" outlineLevel="0" collapsed="false">
      <c r="B47" s="19"/>
      <c r="C47" s="19"/>
      <c r="D47" s="20"/>
      <c r="E47" s="22" t="str">
        <f aca="false">IF(A47="","",IFERROR(C47/B47,0))</f>
        <v/>
      </c>
      <c r="F47" s="19" t="str">
        <f aca="false">IF(A47="","",MAX(B47-C47,0))</f>
        <v/>
      </c>
      <c r="G47" s="19" t="str">
        <f aca="true">IF(OR(A47="",D47=""),"",IFERROR(F47/(DATEDIF(TODAY(),D47,"m")+1),F47))</f>
        <v/>
      </c>
    </row>
    <row r="48" customFormat="false" ht="15" hidden="false" customHeight="false" outlineLevel="0" collapsed="false">
      <c r="B48" s="19"/>
      <c r="C48" s="19"/>
      <c r="D48" s="20"/>
      <c r="E48" s="22" t="str">
        <f aca="false">IF(A48="","",IFERROR(C48/B48,0))</f>
        <v/>
      </c>
      <c r="F48" s="19" t="str">
        <f aca="false">IF(A48="","",MAX(B48-C48,0))</f>
        <v/>
      </c>
      <c r="G48" s="19" t="str">
        <f aca="true">IF(OR(A48="",D48=""),"",IFERROR(F48/(DATEDIF(TODAY(),D48,"m")+1),F48))</f>
        <v/>
      </c>
    </row>
    <row r="49" customFormat="false" ht="15" hidden="false" customHeight="false" outlineLevel="0" collapsed="false">
      <c r="B49" s="19"/>
      <c r="C49" s="19"/>
      <c r="D49" s="20"/>
      <c r="E49" s="22" t="str">
        <f aca="false">IF(A49="","",IFERROR(C49/B49,0))</f>
        <v/>
      </c>
      <c r="F49" s="19" t="str">
        <f aca="false">IF(A49="","",MAX(B49-C49,0))</f>
        <v/>
      </c>
      <c r="G49" s="19" t="str">
        <f aca="true">IF(OR(A49="",D49=""),"",IFERROR(F49/(DATEDIF(TODAY(),D49,"m")+1),F49))</f>
        <v/>
      </c>
    </row>
    <row r="50" customFormat="false" ht="15" hidden="false" customHeight="false" outlineLevel="0" collapsed="false">
      <c r="B50" s="19"/>
      <c r="C50" s="19"/>
      <c r="D50" s="20"/>
      <c r="E50" s="22" t="str">
        <f aca="false">IF(A50="","",IFERROR(C50/B50,0))</f>
        <v/>
      </c>
      <c r="F50" s="19" t="str">
        <f aca="false">IF(A50="","",MAX(B50-C50,0))</f>
        <v/>
      </c>
      <c r="G50" s="19" t="str">
        <f aca="true">IF(OR(A50="",D50=""),"",IFERROR(F50/(DATEDIF(TODAY(),D50,"m")+1),F50))</f>
        <v/>
      </c>
    </row>
    <row r="51" customFormat="false" ht="15" hidden="false" customHeight="false" outlineLevel="0" collapsed="false">
      <c r="B51" s="19"/>
      <c r="C51" s="19"/>
      <c r="D51" s="20"/>
      <c r="E51" s="22" t="str">
        <f aca="false">IF(A51="","",IFERROR(C51/B51,0))</f>
        <v/>
      </c>
      <c r="F51" s="19" t="str">
        <f aca="false">IF(A51="","",MAX(B51-C51,0))</f>
        <v/>
      </c>
      <c r="G51" s="19" t="str">
        <f aca="true">IF(OR(A51="",D51=""),"",IFERROR(F51/(DATEDIF(TODAY(),D51,"m")+1),F51))</f>
        <v/>
      </c>
    </row>
    <row r="52" customFormat="false" ht="15" hidden="false" customHeight="false" outlineLevel="0" collapsed="false">
      <c r="B52" s="19"/>
      <c r="C52" s="19"/>
      <c r="D52" s="20"/>
      <c r="E52" s="22" t="str">
        <f aca="false">IF(A52="","",IFERROR(C52/B52,0))</f>
        <v/>
      </c>
      <c r="F52" s="19" t="str">
        <f aca="false">IF(A52="","",MAX(B52-C52,0))</f>
        <v/>
      </c>
      <c r="G52" s="19" t="str">
        <f aca="true">IF(OR(A52="",D52=""),"",IFERROR(F52/(DATEDIF(TODAY(),D52,"m")+1),F52))</f>
        <v/>
      </c>
    </row>
    <row r="53" customFormat="false" ht="15" hidden="false" customHeight="false" outlineLevel="0" collapsed="false">
      <c r="B53" s="19"/>
      <c r="C53" s="19"/>
      <c r="D53" s="20"/>
      <c r="E53" s="22" t="str">
        <f aca="false">IF(A53="","",IFERROR(C53/B53,0))</f>
        <v/>
      </c>
      <c r="F53" s="19" t="str">
        <f aca="false">IF(A53="","",MAX(B53-C53,0))</f>
        <v/>
      </c>
      <c r="G53" s="19" t="str">
        <f aca="true">IF(OR(A53="",D53=""),"",IFERROR(F53/(DATEDIF(TODAY(),D53,"m")+1),F53))</f>
        <v/>
      </c>
    </row>
    <row r="54" customFormat="false" ht="15" hidden="false" customHeight="false" outlineLevel="0" collapsed="false">
      <c r="B54" s="19"/>
      <c r="C54" s="19"/>
      <c r="D54" s="20"/>
      <c r="E54" s="22" t="str">
        <f aca="false">IF(A54="","",IFERROR(C54/B54,0))</f>
        <v/>
      </c>
      <c r="F54" s="19" t="str">
        <f aca="false">IF(A54="","",MAX(B54-C54,0))</f>
        <v/>
      </c>
      <c r="G54" s="19" t="str">
        <f aca="true">IF(OR(A54="",D54=""),"",IFERROR(F54/(DATEDIF(TODAY(),D54,"m")+1),F54))</f>
        <v/>
      </c>
    </row>
    <row r="55" customFormat="false" ht="15" hidden="false" customHeight="false" outlineLevel="0" collapsed="false">
      <c r="B55" s="19"/>
      <c r="C55" s="19"/>
      <c r="D55" s="20"/>
      <c r="E55" s="22" t="str">
        <f aca="false">IF(A55="","",IFERROR(C55/B55,0))</f>
        <v/>
      </c>
      <c r="F55" s="19" t="str">
        <f aca="false">IF(A55="","",MAX(B55-C55,0))</f>
        <v/>
      </c>
      <c r="G55" s="19" t="str">
        <f aca="true">IF(OR(A55="",D55=""),"",IFERROR(F55/(DATEDIF(TODAY(),D55,"m")+1),F55))</f>
        <v/>
      </c>
    </row>
    <row r="56" customFormat="false" ht="15" hidden="false" customHeight="false" outlineLevel="0" collapsed="false">
      <c r="B56" s="19"/>
      <c r="C56" s="19"/>
      <c r="D56" s="20"/>
      <c r="E56" s="22" t="str">
        <f aca="false">IF(A56="","",IFERROR(C56/B56,0))</f>
        <v/>
      </c>
      <c r="F56" s="19" t="str">
        <f aca="false">IF(A56="","",MAX(B56-C56,0))</f>
        <v/>
      </c>
      <c r="G56" s="19" t="str">
        <f aca="true">IF(OR(A56="",D56=""),"",IFERROR(F56/(DATEDIF(TODAY(),D56,"m")+1),F56))</f>
        <v/>
      </c>
    </row>
    <row r="57" customFormat="false" ht="15" hidden="false" customHeight="false" outlineLevel="0" collapsed="false">
      <c r="B57" s="19"/>
      <c r="C57" s="19"/>
      <c r="D57" s="20"/>
      <c r="E57" s="22" t="str">
        <f aca="false">IF(A57="","",IFERROR(C57/B57,0))</f>
        <v/>
      </c>
      <c r="F57" s="19" t="str">
        <f aca="false">IF(A57="","",MAX(B57-C57,0))</f>
        <v/>
      </c>
      <c r="G57" s="19" t="str">
        <f aca="true">IF(OR(A57="",D57=""),"",IFERROR(F57/(DATEDIF(TODAY(),D57,"m")+1),F57))</f>
        <v/>
      </c>
    </row>
    <row r="58" customFormat="false" ht="15" hidden="false" customHeight="false" outlineLevel="0" collapsed="false">
      <c r="B58" s="19"/>
      <c r="C58" s="19"/>
      <c r="D58" s="20"/>
      <c r="E58" s="22" t="str">
        <f aca="false">IF(A58="","",IFERROR(C58/B58,0))</f>
        <v/>
      </c>
      <c r="F58" s="19" t="str">
        <f aca="false">IF(A58="","",MAX(B58-C58,0))</f>
        <v/>
      </c>
      <c r="G58" s="19" t="str">
        <f aca="true">IF(OR(A58="",D58=""),"",IFERROR(F58/(DATEDIF(TODAY(),D58,"m")+1),F58))</f>
        <v/>
      </c>
    </row>
    <row r="59" customFormat="false" ht="15" hidden="false" customHeight="false" outlineLevel="0" collapsed="false">
      <c r="B59" s="19"/>
      <c r="C59" s="19"/>
      <c r="D59" s="20"/>
      <c r="E59" s="22" t="str">
        <f aca="false">IF(A59="","",IFERROR(C59/B59,0))</f>
        <v/>
      </c>
      <c r="F59" s="19" t="str">
        <f aca="false">IF(A59="","",MAX(B59-C59,0))</f>
        <v/>
      </c>
      <c r="G59" s="19" t="str">
        <f aca="true">IF(OR(A59="",D59=""),"",IFERROR(F59/(DATEDIF(TODAY(),D59,"m")+1),F59))</f>
        <v/>
      </c>
    </row>
    <row r="60" customFormat="false" ht="15" hidden="false" customHeight="false" outlineLevel="0" collapsed="false">
      <c r="B60" s="19"/>
      <c r="C60" s="19"/>
      <c r="D60" s="20"/>
      <c r="E60" s="22" t="str">
        <f aca="false">IF(A60="","",IFERROR(C60/B60,0))</f>
        <v/>
      </c>
      <c r="F60" s="19" t="str">
        <f aca="false">IF(A60="","",MAX(B60-C60,0))</f>
        <v/>
      </c>
      <c r="G60" s="19" t="str">
        <f aca="true">IF(OR(A60="",D60=""),"",IFERROR(F60/(DATEDIF(TODAY(),D60,"m")+1),F60))</f>
        <v/>
      </c>
    </row>
    <row r="61" customFormat="false" ht="15" hidden="false" customHeight="false" outlineLevel="0" collapsed="false">
      <c r="B61" s="19"/>
      <c r="C61" s="19"/>
      <c r="D61" s="20"/>
      <c r="E61" s="22" t="str">
        <f aca="false">IF(A61="","",IFERROR(C61/B61,0))</f>
        <v/>
      </c>
      <c r="F61" s="19" t="str">
        <f aca="false">IF(A61="","",MAX(B61-C61,0))</f>
        <v/>
      </c>
      <c r="G61" s="19" t="str">
        <f aca="true">IF(OR(A61="",D61=""),"",IFERROR(F61/(DATEDIF(TODAY(),D61,"m")+1),F61))</f>
        <v/>
      </c>
    </row>
    <row r="62" customFormat="false" ht="15" hidden="false" customHeight="false" outlineLevel="0" collapsed="false">
      <c r="B62" s="19"/>
      <c r="C62" s="19"/>
      <c r="D62" s="20"/>
      <c r="E62" s="22" t="str">
        <f aca="false">IF(A62="","",IFERROR(C62/B62,0))</f>
        <v/>
      </c>
      <c r="F62" s="19" t="str">
        <f aca="false">IF(A62="","",MAX(B62-C62,0))</f>
        <v/>
      </c>
      <c r="G62" s="19" t="str">
        <f aca="true">IF(OR(A62="",D62=""),"",IFERROR(F62/(DATEDIF(TODAY(),D62,"m")+1),F62))</f>
        <v/>
      </c>
    </row>
    <row r="63" customFormat="false" ht="15" hidden="false" customHeight="false" outlineLevel="0" collapsed="false">
      <c r="B63" s="19"/>
      <c r="C63" s="19"/>
      <c r="D63" s="20"/>
      <c r="E63" s="22" t="str">
        <f aca="false">IF(A63="","",IFERROR(C63/B63,0))</f>
        <v/>
      </c>
      <c r="F63" s="19" t="str">
        <f aca="false">IF(A63="","",MAX(B63-C63,0))</f>
        <v/>
      </c>
      <c r="G63" s="19" t="str">
        <f aca="true">IF(OR(A63="",D63=""),"",IFERROR(F63/(DATEDIF(TODAY(),D63,"m")+1),F63))</f>
        <v/>
      </c>
    </row>
    <row r="64" customFormat="false" ht="15" hidden="false" customHeight="false" outlineLevel="0" collapsed="false">
      <c r="B64" s="19"/>
      <c r="C64" s="19"/>
      <c r="D64" s="20"/>
      <c r="E64" s="22" t="str">
        <f aca="false">IF(A64="","",IFERROR(C64/B64,0))</f>
        <v/>
      </c>
      <c r="F64" s="19" t="str">
        <f aca="false">IF(A64="","",MAX(B64-C64,0))</f>
        <v/>
      </c>
      <c r="G64" s="19" t="str">
        <f aca="true">IF(OR(A64="",D64=""),"",IFERROR(F64/(DATEDIF(TODAY(),D64,"m")+1),F64))</f>
        <v/>
      </c>
    </row>
    <row r="65" customFormat="false" ht="15" hidden="false" customHeight="false" outlineLevel="0" collapsed="false">
      <c r="B65" s="19"/>
      <c r="C65" s="19"/>
      <c r="D65" s="20"/>
      <c r="E65" s="22" t="str">
        <f aca="false">IF(A65="","",IFERROR(C65/B65,0))</f>
        <v/>
      </c>
      <c r="F65" s="19" t="str">
        <f aca="false">IF(A65="","",MAX(B65-C65,0))</f>
        <v/>
      </c>
      <c r="G65" s="19" t="str">
        <f aca="true">IF(OR(A65="",D65=""),"",IFERROR(F65/(DATEDIF(TODAY(),D65,"m")+1),F65))</f>
        <v/>
      </c>
    </row>
    <row r="66" customFormat="false" ht="15" hidden="false" customHeight="false" outlineLevel="0" collapsed="false">
      <c r="B66" s="19"/>
      <c r="C66" s="19"/>
      <c r="D66" s="20"/>
      <c r="E66" s="22" t="str">
        <f aca="false">IF(A66="","",IFERROR(C66/B66,0))</f>
        <v/>
      </c>
      <c r="F66" s="19" t="str">
        <f aca="false">IF(A66="","",MAX(B66-C66,0))</f>
        <v/>
      </c>
      <c r="G66" s="19" t="str">
        <f aca="true">IF(OR(A66="",D66=""),"",IFERROR(F66/(DATEDIF(TODAY(),D66,"m")+1),F66))</f>
        <v/>
      </c>
    </row>
    <row r="67" customFormat="false" ht="15" hidden="false" customHeight="false" outlineLevel="0" collapsed="false">
      <c r="B67" s="19"/>
      <c r="C67" s="19"/>
      <c r="D67" s="20"/>
      <c r="E67" s="22" t="str">
        <f aca="false">IF(A67="","",IFERROR(C67/B67,0))</f>
        <v/>
      </c>
      <c r="F67" s="19" t="str">
        <f aca="false">IF(A67="","",MAX(B67-C67,0))</f>
        <v/>
      </c>
      <c r="G67" s="19" t="str">
        <f aca="true">IF(OR(A67="",D67=""),"",IFERROR(F67/(DATEDIF(TODAY(),D67,"m")+1),F67))</f>
        <v/>
      </c>
    </row>
    <row r="68" customFormat="false" ht="15" hidden="false" customHeight="false" outlineLevel="0" collapsed="false">
      <c r="B68" s="19"/>
      <c r="C68" s="19"/>
      <c r="D68" s="20"/>
      <c r="E68" s="22" t="str">
        <f aca="false">IF(A68="","",IFERROR(C68/B68,0))</f>
        <v/>
      </c>
      <c r="F68" s="19" t="str">
        <f aca="false">IF(A68="","",MAX(B68-C68,0))</f>
        <v/>
      </c>
      <c r="G68" s="19" t="str">
        <f aca="true">IF(OR(A68="",D68=""),"",IFERROR(F68/(DATEDIF(TODAY(),D68,"m")+1),F68))</f>
        <v/>
      </c>
    </row>
    <row r="69" customFormat="false" ht="15" hidden="false" customHeight="false" outlineLevel="0" collapsed="false">
      <c r="B69" s="19"/>
      <c r="C69" s="19"/>
      <c r="D69" s="20"/>
      <c r="E69" s="22" t="str">
        <f aca="false">IF(A69="","",IFERROR(C69/B69,0))</f>
        <v/>
      </c>
      <c r="F69" s="19" t="str">
        <f aca="false">IF(A69="","",MAX(B69-C69,0))</f>
        <v/>
      </c>
      <c r="G69" s="19" t="str">
        <f aca="true">IF(OR(A69="",D69=""),"",IFERROR(F69/(DATEDIF(TODAY(),D69,"m")+1),F69))</f>
        <v/>
      </c>
    </row>
    <row r="70" customFormat="false" ht="15" hidden="false" customHeight="false" outlineLevel="0" collapsed="false">
      <c r="B70" s="19"/>
      <c r="C70" s="19"/>
      <c r="D70" s="20"/>
      <c r="E70" s="22" t="str">
        <f aca="false">IF(A70="","",IFERROR(C70/B70,0))</f>
        <v/>
      </c>
      <c r="F70" s="19" t="str">
        <f aca="false">IF(A70="","",MAX(B70-C70,0))</f>
        <v/>
      </c>
      <c r="G70" s="19" t="str">
        <f aca="true">IF(OR(A70="",D70=""),"",IFERROR(F70/(DATEDIF(TODAY(),D70,"m")+1),F70))</f>
        <v/>
      </c>
    </row>
    <row r="71" customFormat="false" ht="15" hidden="false" customHeight="false" outlineLevel="0" collapsed="false">
      <c r="B71" s="19"/>
      <c r="C71" s="19"/>
      <c r="D71" s="20"/>
      <c r="E71" s="22" t="str">
        <f aca="false">IF(A71="","",IFERROR(C71/B71,0))</f>
        <v/>
      </c>
      <c r="F71" s="19" t="str">
        <f aca="false">IF(A71="","",MAX(B71-C71,0))</f>
        <v/>
      </c>
      <c r="G71" s="19" t="str">
        <f aca="true">IF(OR(A71="",D71=""),"",IFERROR(F71/(DATEDIF(TODAY(),D71,"m")+1),F71))</f>
        <v/>
      </c>
    </row>
    <row r="72" customFormat="false" ht="15" hidden="false" customHeight="false" outlineLevel="0" collapsed="false">
      <c r="B72" s="19"/>
      <c r="C72" s="19"/>
      <c r="D72" s="20"/>
      <c r="E72" s="22" t="str">
        <f aca="false">IF(A72="","",IFERROR(C72/B72,0))</f>
        <v/>
      </c>
      <c r="F72" s="19" t="str">
        <f aca="false">IF(A72="","",MAX(B72-C72,0))</f>
        <v/>
      </c>
      <c r="G72" s="19" t="str">
        <f aca="true">IF(OR(A72="",D72=""),"",IFERROR(F72/(DATEDIF(TODAY(),D72,"m")+1),F72))</f>
        <v/>
      </c>
    </row>
    <row r="73" customFormat="false" ht="15" hidden="false" customHeight="false" outlineLevel="0" collapsed="false">
      <c r="B73" s="19"/>
      <c r="C73" s="19"/>
      <c r="D73" s="20"/>
      <c r="E73" s="22" t="str">
        <f aca="false">IF(A73="","",IFERROR(C73/B73,0))</f>
        <v/>
      </c>
      <c r="F73" s="19" t="str">
        <f aca="false">IF(A73="","",MAX(B73-C73,0))</f>
        <v/>
      </c>
      <c r="G73" s="19" t="str">
        <f aca="true">IF(OR(A73="",D73=""),"",IFERROR(F73/(DATEDIF(TODAY(),D73,"m")+1),F73))</f>
        <v/>
      </c>
    </row>
    <row r="74" customFormat="false" ht="15" hidden="false" customHeight="false" outlineLevel="0" collapsed="false">
      <c r="B74" s="19"/>
      <c r="C74" s="19"/>
      <c r="D74" s="20"/>
      <c r="E74" s="22" t="str">
        <f aca="false">IF(A74="","",IFERROR(C74/B74,0))</f>
        <v/>
      </c>
      <c r="F74" s="19" t="str">
        <f aca="false">IF(A74="","",MAX(B74-C74,0))</f>
        <v/>
      </c>
      <c r="G74" s="19" t="str">
        <f aca="true">IF(OR(A74="",D74=""),"",IFERROR(F74/(DATEDIF(TODAY(),D74,"m")+1),F74))</f>
        <v/>
      </c>
    </row>
    <row r="75" customFormat="false" ht="15" hidden="false" customHeight="false" outlineLevel="0" collapsed="false">
      <c r="B75" s="19"/>
      <c r="C75" s="19"/>
      <c r="D75" s="20"/>
      <c r="E75" s="22" t="str">
        <f aca="false">IF(A75="","",IFERROR(C75/B75,0))</f>
        <v/>
      </c>
      <c r="F75" s="19" t="str">
        <f aca="false">IF(A75="","",MAX(B75-C75,0))</f>
        <v/>
      </c>
      <c r="G75" s="19" t="str">
        <f aca="true">IF(OR(A75="",D75=""),"",IFERROR(F75/(DATEDIF(TODAY(),D75,"m")+1),F75))</f>
        <v/>
      </c>
    </row>
    <row r="76" customFormat="false" ht="15" hidden="false" customHeight="false" outlineLevel="0" collapsed="false">
      <c r="B76" s="19"/>
      <c r="C76" s="19"/>
      <c r="D76" s="20"/>
      <c r="E76" s="22" t="str">
        <f aca="false">IF(A76="","",IFERROR(C76/B76,0))</f>
        <v/>
      </c>
      <c r="F76" s="19" t="str">
        <f aca="false">IF(A76="","",MAX(B76-C76,0))</f>
        <v/>
      </c>
      <c r="G76" s="19" t="str">
        <f aca="true">IF(OR(A76="",D76=""),"",IFERROR(F76/(DATEDIF(TODAY(),D76,"m")+1),F76))</f>
        <v/>
      </c>
    </row>
    <row r="77" customFormat="false" ht="15" hidden="false" customHeight="false" outlineLevel="0" collapsed="false">
      <c r="B77" s="19"/>
      <c r="C77" s="19"/>
      <c r="D77" s="20"/>
      <c r="E77" s="22" t="str">
        <f aca="false">IF(A77="","",IFERROR(C77/B77,0))</f>
        <v/>
      </c>
      <c r="F77" s="19" t="str">
        <f aca="false">IF(A77="","",MAX(B77-C77,0))</f>
        <v/>
      </c>
      <c r="G77" s="19" t="str">
        <f aca="true">IF(OR(A77="",D77=""),"",IFERROR(F77/(DATEDIF(TODAY(),D77,"m")+1),F77))</f>
        <v/>
      </c>
    </row>
    <row r="78" customFormat="false" ht="15" hidden="false" customHeight="false" outlineLevel="0" collapsed="false">
      <c r="B78" s="19"/>
      <c r="C78" s="19"/>
      <c r="D78" s="20"/>
      <c r="E78" s="22" t="str">
        <f aca="false">IF(A78="","",IFERROR(C78/B78,0))</f>
        <v/>
      </c>
      <c r="F78" s="19" t="str">
        <f aca="false">IF(A78="","",MAX(B78-C78,0))</f>
        <v/>
      </c>
      <c r="G78" s="19" t="str">
        <f aca="true">IF(OR(A78="",D78=""),"",IFERROR(F78/(DATEDIF(TODAY(),D78,"m")+1),F78))</f>
        <v/>
      </c>
    </row>
    <row r="79" customFormat="false" ht="15" hidden="false" customHeight="false" outlineLevel="0" collapsed="false">
      <c r="B79" s="19"/>
      <c r="C79" s="19"/>
      <c r="D79" s="20"/>
      <c r="E79" s="22" t="str">
        <f aca="false">IF(A79="","",IFERROR(C79/B79,0))</f>
        <v/>
      </c>
      <c r="F79" s="19" t="str">
        <f aca="false">IF(A79="","",MAX(B79-C79,0))</f>
        <v/>
      </c>
      <c r="G79" s="19" t="str">
        <f aca="true">IF(OR(A79="",D79=""),"",IFERROR(F79/(DATEDIF(TODAY(),D79,"m")+1),F79))</f>
        <v/>
      </c>
    </row>
    <row r="80" customFormat="false" ht="15" hidden="false" customHeight="false" outlineLevel="0" collapsed="false">
      <c r="B80" s="19"/>
      <c r="C80" s="19"/>
      <c r="D80" s="20"/>
      <c r="E80" s="22" t="str">
        <f aca="false">IF(A80="","",IFERROR(C80/B80,0))</f>
        <v/>
      </c>
      <c r="F80" s="19" t="str">
        <f aca="false">IF(A80="","",MAX(B80-C80,0))</f>
        <v/>
      </c>
      <c r="G80" s="19" t="str">
        <f aca="true">IF(OR(A80="",D80=""),"",IFERROR(F80/(DATEDIF(TODAY(),D80,"m")+1),F80))</f>
        <v/>
      </c>
    </row>
    <row r="81" customFormat="false" ht="15" hidden="false" customHeight="false" outlineLevel="0" collapsed="false">
      <c r="B81" s="19"/>
      <c r="C81" s="19"/>
      <c r="D81" s="20"/>
      <c r="E81" s="22" t="str">
        <f aca="false">IF(A81="","",IFERROR(C81/B81,0))</f>
        <v/>
      </c>
      <c r="F81" s="19" t="str">
        <f aca="false">IF(A81="","",MAX(B81-C81,0))</f>
        <v/>
      </c>
      <c r="G81" s="19" t="str">
        <f aca="true">IF(OR(A81="",D81=""),"",IFERROR(F81/(DATEDIF(TODAY(),D81,"m")+1),F81))</f>
        <v/>
      </c>
    </row>
    <row r="82" customFormat="false" ht="15" hidden="false" customHeight="false" outlineLevel="0" collapsed="false">
      <c r="B82" s="19"/>
      <c r="C82" s="19"/>
      <c r="D82" s="20"/>
      <c r="E82" s="22" t="str">
        <f aca="false">IF(A82="","",IFERROR(C82/B82,0))</f>
        <v/>
      </c>
      <c r="F82" s="19" t="str">
        <f aca="false">IF(A82="","",MAX(B82-C82,0))</f>
        <v/>
      </c>
      <c r="G82" s="19" t="str">
        <f aca="true">IF(OR(A82="",D82=""),"",IFERROR(F82/(DATEDIF(TODAY(),D82,"m")+1),F82))</f>
        <v/>
      </c>
    </row>
    <row r="83" customFormat="false" ht="15" hidden="false" customHeight="false" outlineLevel="0" collapsed="false">
      <c r="B83" s="19"/>
      <c r="C83" s="19"/>
      <c r="D83" s="20"/>
      <c r="E83" s="22" t="str">
        <f aca="false">IF(A83="","",IFERROR(C83/B83,0))</f>
        <v/>
      </c>
      <c r="F83" s="19" t="str">
        <f aca="false">IF(A83="","",MAX(B83-C83,0))</f>
        <v/>
      </c>
      <c r="G83" s="19" t="str">
        <f aca="true">IF(OR(A83="",D83=""),"",IFERROR(F83/(DATEDIF(TODAY(),D83,"m")+1),F83))</f>
        <v/>
      </c>
    </row>
    <row r="84" customFormat="false" ht="15" hidden="false" customHeight="false" outlineLevel="0" collapsed="false">
      <c r="B84" s="19"/>
      <c r="C84" s="19"/>
      <c r="D84" s="20"/>
      <c r="E84" s="22" t="str">
        <f aca="false">IF(A84="","",IFERROR(C84/B84,0))</f>
        <v/>
      </c>
      <c r="F84" s="19" t="str">
        <f aca="false">IF(A84="","",MAX(B84-C84,0))</f>
        <v/>
      </c>
      <c r="G84" s="19" t="str">
        <f aca="true">IF(OR(A84="",D84=""),"",IFERROR(F84/(DATEDIF(TODAY(),D84,"m")+1),F84))</f>
        <v/>
      </c>
    </row>
    <row r="85" customFormat="false" ht="15" hidden="false" customHeight="false" outlineLevel="0" collapsed="false">
      <c r="B85" s="19"/>
      <c r="C85" s="19"/>
      <c r="D85" s="20"/>
      <c r="E85" s="22" t="str">
        <f aca="false">IF(A85="","",IFERROR(C85/B85,0))</f>
        <v/>
      </c>
      <c r="F85" s="19" t="str">
        <f aca="false">IF(A85="","",MAX(B85-C85,0))</f>
        <v/>
      </c>
      <c r="G85" s="19" t="str">
        <f aca="true">IF(OR(A85="",D85=""),"",IFERROR(F85/(DATEDIF(TODAY(),D85,"m")+1),F85))</f>
        <v/>
      </c>
    </row>
    <row r="86" customFormat="false" ht="15" hidden="false" customHeight="false" outlineLevel="0" collapsed="false">
      <c r="B86" s="19"/>
      <c r="C86" s="19"/>
      <c r="D86" s="20"/>
      <c r="E86" s="22" t="str">
        <f aca="false">IF(A86="","",IFERROR(C86/B86,0))</f>
        <v/>
      </c>
      <c r="F86" s="19" t="str">
        <f aca="false">IF(A86="","",MAX(B86-C86,0))</f>
        <v/>
      </c>
      <c r="G86" s="19" t="str">
        <f aca="true">IF(OR(A86="",D86=""),"",IFERROR(F86/(DATEDIF(TODAY(),D86,"m")+1),F86))</f>
        <v/>
      </c>
    </row>
    <row r="87" customFormat="false" ht="15" hidden="false" customHeight="false" outlineLevel="0" collapsed="false">
      <c r="B87" s="19"/>
      <c r="C87" s="19"/>
      <c r="D87" s="20"/>
      <c r="E87" s="22" t="str">
        <f aca="false">IF(A87="","",IFERROR(C87/B87,0))</f>
        <v/>
      </c>
      <c r="F87" s="19" t="str">
        <f aca="false">IF(A87="","",MAX(B87-C87,0))</f>
        <v/>
      </c>
      <c r="G87" s="19" t="str">
        <f aca="true">IF(OR(A87="",D87=""),"",IFERROR(F87/(DATEDIF(TODAY(),D87,"m")+1),F87))</f>
        <v/>
      </c>
    </row>
    <row r="88" customFormat="false" ht="15" hidden="false" customHeight="false" outlineLevel="0" collapsed="false">
      <c r="B88" s="19"/>
      <c r="C88" s="19"/>
      <c r="D88" s="20"/>
      <c r="E88" s="22" t="str">
        <f aca="false">IF(A88="","",IFERROR(C88/B88,0))</f>
        <v/>
      </c>
      <c r="F88" s="19" t="str">
        <f aca="false">IF(A88="","",MAX(B88-C88,0))</f>
        <v/>
      </c>
      <c r="G88" s="19" t="str">
        <f aca="true">IF(OR(A88="",D88=""),"",IFERROR(F88/(DATEDIF(TODAY(),D88,"m")+1),F88))</f>
        <v/>
      </c>
    </row>
    <row r="89" customFormat="false" ht="15" hidden="false" customHeight="false" outlineLevel="0" collapsed="false">
      <c r="B89" s="19"/>
      <c r="C89" s="19"/>
      <c r="D89" s="20"/>
      <c r="E89" s="22" t="str">
        <f aca="false">IF(A89="","",IFERROR(C89/B89,0))</f>
        <v/>
      </c>
      <c r="F89" s="19" t="str">
        <f aca="false">IF(A89="","",MAX(B89-C89,0))</f>
        <v/>
      </c>
      <c r="G89" s="19" t="str">
        <f aca="true">IF(OR(A89="",D89=""),"",IFERROR(F89/(DATEDIF(TODAY(),D89,"m")+1),F89))</f>
        <v/>
      </c>
    </row>
    <row r="90" customFormat="false" ht="15" hidden="false" customHeight="false" outlineLevel="0" collapsed="false">
      <c r="B90" s="19"/>
      <c r="C90" s="19"/>
      <c r="D90" s="20"/>
      <c r="E90" s="22" t="str">
        <f aca="false">IF(A90="","",IFERROR(C90/B90,0))</f>
        <v/>
      </c>
      <c r="F90" s="19" t="str">
        <f aca="false">IF(A90="","",MAX(B90-C90,0))</f>
        <v/>
      </c>
      <c r="G90" s="19" t="str">
        <f aca="true">IF(OR(A90="",D90=""),"",IFERROR(F90/(DATEDIF(TODAY(),D90,"m")+1),F90))</f>
        <v/>
      </c>
    </row>
    <row r="91" customFormat="false" ht="15" hidden="false" customHeight="false" outlineLevel="0" collapsed="false">
      <c r="B91" s="19"/>
      <c r="C91" s="19"/>
      <c r="D91" s="20"/>
      <c r="E91" s="22" t="str">
        <f aca="false">IF(A91="","",IFERROR(C91/B91,0))</f>
        <v/>
      </c>
      <c r="F91" s="19" t="str">
        <f aca="false">IF(A91="","",MAX(B91-C91,0))</f>
        <v/>
      </c>
      <c r="G91" s="19" t="str">
        <f aca="true">IF(OR(A91="",D91=""),"",IFERROR(F91/(DATEDIF(TODAY(),D91,"m")+1),F91))</f>
        <v/>
      </c>
    </row>
    <row r="92" customFormat="false" ht="15" hidden="false" customHeight="false" outlineLevel="0" collapsed="false">
      <c r="B92" s="19"/>
      <c r="C92" s="19"/>
      <c r="D92" s="20"/>
      <c r="E92" s="22" t="str">
        <f aca="false">IF(A92="","",IFERROR(C92/B92,0))</f>
        <v/>
      </c>
      <c r="F92" s="19" t="str">
        <f aca="false">IF(A92="","",MAX(B92-C92,0))</f>
        <v/>
      </c>
      <c r="G92" s="19" t="str">
        <f aca="true">IF(OR(A92="",D92=""),"",IFERROR(F92/(DATEDIF(TODAY(),D92,"m")+1),F92))</f>
        <v/>
      </c>
    </row>
    <row r="93" customFormat="false" ht="15" hidden="false" customHeight="false" outlineLevel="0" collapsed="false">
      <c r="B93" s="19"/>
      <c r="C93" s="19"/>
      <c r="D93" s="20"/>
      <c r="E93" s="22" t="str">
        <f aca="false">IF(A93="","",IFERROR(C93/B93,0))</f>
        <v/>
      </c>
      <c r="F93" s="19" t="str">
        <f aca="false">IF(A93="","",MAX(B93-C93,0))</f>
        <v/>
      </c>
      <c r="G93" s="19" t="str">
        <f aca="true">IF(OR(A93="",D93=""),"",IFERROR(F93/(DATEDIF(TODAY(),D93,"m")+1),F93))</f>
        <v/>
      </c>
    </row>
    <row r="94" customFormat="false" ht="15" hidden="false" customHeight="false" outlineLevel="0" collapsed="false">
      <c r="B94" s="19"/>
      <c r="C94" s="19"/>
      <c r="D94" s="20"/>
      <c r="E94" s="22" t="str">
        <f aca="false">IF(A94="","",IFERROR(C94/B94,0))</f>
        <v/>
      </c>
      <c r="F94" s="19" t="str">
        <f aca="false">IF(A94="","",MAX(B94-C94,0))</f>
        <v/>
      </c>
      <c r="G94" s="19" t="str">
        <f aca="true">IF(OR(A94="",D94=""),"",IFERROR(F94/(DATEDIF(TODAY(),D94,"m")+1),F94))</f>
        <v/>
      </c>
    </row>
    <row r="95" customFormat="false" ht="15" hidden="false" customHeight="false" outlineLevel="0" collapsed="false">
      <c r="B95" s="19"/>
      <c r="C95" s="19"/>
      <c r="D95" s="20"/>
      <c r="E95" s="22" t="str">
        <f aca="false">IF(A95="","",IFERROR(C95/B95,0))</f>
        <v/>
      </c>
      <c r="F95" s="19" t="str">
        <f aca="false">IF(A95="","",MAX(B95-C95,0))</f>
        <v/>
      </c>
      <c r="G95" s="19" t="str">
        <f aca="true">IF(OR(A95="",D95=""),"",IFERROR(F95/(DATEDIF(TODAY(),D95,"m")+1),F95))</f>
        <v/>
      </c>
    </row>
    <row r="96" customFormat="false" ht="15" hidden="false" customHeight="false" outlineLevel="0" collapsed="false">
      <c r="B96" s="19"/>
      <c r="C96" s="19"/>
      <c r="D96" s="20"/>
      <c r="E96" s="22" t="str">
        <f aca="false">IF(A96="","",IFERROR(C96/B96,0))</f>
        <v/>
      </c>
      <c r="F96" s="19" t="str">
        <f aca="false">IF(A96="","",MAX(B96-C96,0))</f>
        <v/>
      </c>
      <c r="G96" s="19" t="str">
        <f aca="true">IF(OR(A96="",D96=""),"",IFERROR(F96/(DATEDIF(TODAY(),D96,"m")+1),F96))</f>
        <v/>
      </c>
    </row>
    <row r="97" customFormat="false" ht="15" hidden="false" customHeight="false" outlineLevel="0" collapsed="false">
      <c r="B97" s="19"/>
      <c r="C97" s="19"/>
      <c r="D97" s="20"/>
      <c r="E97" s="22" t="str">
        <f aca="false">IF(A97="","",IFERROR(C97/B97,0))</f>
        <v/>
      </c>
      <c r="F97" s="19" t="str">
        <f aca="false">IF(A97="","",MAX(B97-C97,0))</f>
        <v/>
      </c>
      <c r="G97" s="19" t="str">
        <f aca="true">IF(OR(A97="",D97=""),"",IFERROR(F97/(DATEDIF(TODAY(),D97,"m")+1),F97))</f>
        <v/>
      </c>
    </row>
    <row r="98" customFormat="false" ht="15" hidden="false" customHeight="false" outlineLevel="0" collapsed="false">
      <c r="B98" s="19"/>
      <c r="C98" s="19"/>
      <c r="D98" s="20"/>
      <c r="E98" s="22" t="str">
        <f aca="false">IF(A98="","",IFERROR(C98/B98,0))</f>
        <v/>
      </c>
      <c r="F98" s="19" t="str">
        <f aca="false">IF(A98="","",MAX(B98-C98,0))</f>
        <v/>
      </c>
      <c r="G98" s="19" t="str">
        <f aca="true">IF(OR(A98="",D98=""),"",IFERROR(F98/(DATEDIF(TODAY(),D98,"m")+1),F98))</f>
        <v/>
      </c>
    </row>
    <row r="99" customFormat="false" ht="15" hidden="false" customHeight="false" outlineLevel="0" collapsed="false">
      <c r="B99" s="19"/>
      <c r="C99" s="19"/>
      <c r="D99" s="20"/>
      <c r="E99" s="22" t="str">
        <f aca="false">IF(A99="","",IFERROR(C99/B99,0))</f>
        <v/>
      </c>
      <c r="F99" s="19" t="str">
        <f aca="false">IF(A99="","",MAX(B99-C99,0))</f>
        <v/>
      </c>
      <c r="G99" s="19" t="str">
        <f aca="true">IF(OR(A99="",D99=""),"",IFERROR(F99/(DATEDIF(TODAY(),D99,"m")+1),F99))</f>
        <v/>
      </c>
    </row>
    <row r="100" customFormat="false" ht="15" hidden="false" customHeight="false" outlineLevel="0" collapsed="false">
      <c r="B100" s="19"/>
      <c r="C100" s="19"/>
      <c r="D100" s="20"/>
      <c r="E100" s="22" t="str">
        <f aca="false">IF(A100="","",IFERROR(C100/B100,0))</f>
        <v/>
      </c>
      <c r="F100" s="19" t="str">
        <f aca="false">IF(A100="","",MAX(B100-C100,0))</f>
        <v/>
      </c>
      <c r="G100" s="19" t="str">
        <f aca="true">IF(OR(A100="",D100=""),"",IFERROR(F100/(DATEDIF(TODAY(),D100,"m")+1),F100))</f>
        <v/>
      </c>
    </row>
    <row r="101" customFormat="false" ht="15" hidden="false" customHeight="false" outlineLevel="0" collapsed="false">
      <c r="B101" s="19"/>
      <c r="C101" s="19"/>
      <c r="D101" s="20"/>
      <c r="E101" s="22" t="str">
        <f aca="false">IF(A101="","",IFERROR(C101/B101,0))</f>
        <v/>
      </c>
      <c r="F101" s="19" t="str">
        <f aca="false">IF(A101="","",MAX(B101-C101,0))</f>
        <v/>
      </c>
      <c r="G101" s="19" t="str">
        <f aca="true">IF(OR(A101="",D101=""),"",IFERROR(F101/(DATEDIF(TODAY(),D101,"m")+1),F101))</f>
        <v/>
      </c>
    </row>
    <row r="102" customFormat="false" ht="15" hidden="false" customHeight="false" outlineLevel="0" collapsed="false">
      <c r="B102" s="19"/>
      <c r="C102" s="19"/>
      <c r="D102" s="20"/>
      <c r="E102" s="22" t="str">
        <f aca="false">IF(A102="","",IFERROR(C102/B102,0))</f>
        <v/>
      </c>
      <c r="F102" s="19" t="str">
        <f aca="false">IF(A102="","",MAX(B102-C102,0))</f>
        <v/>
      </c>
      <c r="G102" s="19" t="str">
        <f aca="true">IF(OR(A102="",D102=""),"",IFERROR(F102/(DATEDIF(TODAY(),D102,"m")+1),F102))</f>
        <v/>
      </c>
    </row>
    <row r="103" customFormat="false" ht="15" hidden="false" customHeight="false" outlineLevel="0" collapsed="false">
      <c r="B103" s="19"/>
      <c r="C103" s="19"/>
      <c r="D103" s="20"/>
      <c r="E103" s="22" t="str">
        <f aca="false">IF(A103="","",IFERROR(C103/B103,0))</f>
        <v/>
      </c>
      <c r="F103" s="19" t="str">
        <f aca="false">IF(A103="","",MAX(B103-C103,0))</f>
        <v/>
      </c>
      <c r="G103" s="19" t="str">
        <f aca="true">IF(OR(A103="",D103=""),"",IFERROR(F103/(DATEDIF(TODAY(),D103,"m")+1),F103))</f>
        <v/>
      </c>
    </row>
    <row r="104" customFormat="false" ht="15" hidden="false" customHeight="false" outlineLevel="0" collapsed="false">
      <c r="B104" s="19"/>
      <c r="C104" s="19"/>
      <c r="D104" s="20"/>
      <c r="E104" s="22" t="str">
        <f aca="false">IF(A104="","",IFERROR(C104/B104,0))</f>
        <v/>
      </c>
      <c r="F104" s="19" t="str">
        <f aca="false">IF(A104="","",MAX(B104-C104,0))</f>
        <v/>
      </c>
      <c r="G104" s="19" t="str">
        <f aca="true">IF(OR(A104="",D104=""),"",IFERROR(F104/(DATEDIF(TODAY(),D104,"m")+1),F104))</f>
        <v/>
      </c>
    </row>
    <row r="105" customFormat="false" ht="15" hidden="false" customHeight="false" outlineLevel="0" collapsed="false">
      <c r="B105" s="19"/>
      <c r="C105" s="19"/>
      <c r="D105" s="20"/>
      <c r="E105" s="22" t="str">
        <f aca="false">IF(A105="","",IFERROR(C105/B105,0))</f>
        <v/>
      </c>
      <c r="F105" s="19" t="str">
        <f aca="false">IF(A105="","",MAX(B105-C105,0))</f>
        <v/>
      </c>
      <c r="G105" s="19" t="str">
        <f aca="true">IF(OR(A105="",D105=""),"",IFERROR(F105/(DATEDIF(TODAY(),D105,"m")+1),F105))</f>
        <v/>
      </c>
    </row>
    <row r="106" customFormat="false" ht="15" hidden="false" customHeight="false" outlineLevel="0" collapsed="false">
      <c r="B106" s="19"/>
      <c r="C106" s="19"/>
      <c r="D106" s="20"/>
      <c r="E106" s="22" t="str">
        <f aca="false">IF(A106="","",IFERROR(C106/B106,0))</f>
        <v/>
      </c>
      <c r="F106" s="19" t="str">
        <f aca="false">IF(A106="","",MAX(B106-C106,0))</f>
        <v/>
      </c>
      <c r="G106" s="19" t="str">
        <f aca="true">IF(OR(A106="",D106=""),"",IFERROR(F106/(DATEDIF(TODAY(),D106,"m")+1),F106))</f>
        <v/>
      </c>
    </row>
    <row r="107" customFormat="false" ht="15" hidden="false" customHeight="false" outlineLevel="0" collapsed="false">
      <c r="B107" s="19"/>
      <c r="C107" s="19"/>
      <c r="D107" s="20"/>
      <c r="E107" s="22" t="str">
        <f aca="false">IF(A107="","",IFERROR(C107/B107,0))</f>
        <v/>
      </c>
      <c r="F107" s="19" t="str">
        <f aca="false">IF(A107="","",MAX(B107-C107,0))</f>
        <v/>
      </c>
      <c r="G107" s="19" t="str">
        <f aca="true">IF(OR(A107="",D107=""),"",IFERROR(F107/(DATEDIF(TODAY(),D107,"m")+1),F107))</f>
        <v/>
      </c>
    </row>
    <row r="108" customFormat="false" ht="15" hidden="false" customHeight="false" outlineLevel="0" collapsed="false">
      <c r="B108" s="19"/>
      <c r="C108" s="19"/>
      <c r="D108" s="20"/>
      <c r="E108" s="22" t="str">
        <f aca="false">IF(A108="","",IFERROR(C108/B108,0))</f>
        <v/>
      </c>
      <c r="F108" s="19" t="str">
        <f aca="false">IF(A108="","",MAX(B108-C108,0))</f>
        <v/>
      </c>
      <c r="G108" s="19" t="str">
        <f aca="true">IF(OR(A108="",D108=""),"",IFERROR(F108/(DATEDIF(TODAY(),D108,"m")+1),F108))</f>
        <v/>
      </c>
    </row>
    <row r="109" customFormat="false" ht="15" hidden="false" customHeight="false" outlineLevel="0" collapsed="false">
      <c r="B109" s="19"/>
      <c r="C109" s="19"/>
      <c r="D109" s="20"/>
      <c r="E109" s="22" t="str">
        <f aca="false">IF(A109="","",IFERROR(C109/B109,0))</f>
        <v/>
      </c>
      <c r="F109" s="19" t="str">
        <f aca="false">IF(A109="","",MAX(B109-C109,0))</f>
        <v/>
      </c>
      <c r="G109" s="19" t="str">
        <f aca="true">IF(OR(A109="",D109=""),"",IFERROR(F109/(DATEDIF(TODAY(),D109,"m")+1),F109))</f>
        <v/>
      </c>
    </row>
    <row r="110" customFormat="false" ht="15" hidden="false" customHeight="false" outlineLevel="0" collapsed="false">
      <c r="B110" s="19"/>
      <c r="C110" s="19"/>
      <c r="D110" s="20"/>
      <c r="E110" s="22" t="str">
        <f aca="false">IF(A110="","",IFERROR(C110/B110,0))</f>
        <v/>
      </c>
      <c r="F110" s="19" t="str">
        <f aca="false">IF(A110="","",MAX(B110-C110,0))</f>
        <v/>
      </c>
      <c r="G110" s="19" t="str">
        <f aca="true">IF(OR(A110="",D110=""),"",IFERROR(F110/(DATEDIF(TODAY(),D110,"m")+1),F110))</f>
        <v/>
      </c>
    </row>
    <row r="111" customFormat="false" ht="15" hidden="false" customHeight="false" outlineLevel="0" collapsed="false">
      <c r="B111" s="19"/>
      <c r="C111" s="19"/>
      <c r="D111" s="20"/>
      <c r="E111" s="22" t="str">
        <f aca="false">IF(A111="","",IFERROR(C111/B111,0))</f>
        <v/>
      </c>
      <c r="F111" s="19" t="str">
        <f aca="false">IF(A111="","",MAX(B111-C111,0))</f>
        <v/>
      </c>
      <c r="G111" s="19" t="str">
        <f aca="true">IF(OR(A111="",D111=""),"",IFERROR(F111/(DATEDIF(TODAY(),D111,"m")+1),F111))</f>
        <v/>
      </c>
    </row>
    <row r="112" customFormat="false" ht="15" hidden="false" customHeight="false" outlineLevel="0" collapsed="false">
      <c r="B112" s="19"/>
      <c r="C112" s="19"/>
      <c r="D112" s="20"/>
      <c r="E112" s="22" t="str">
        <f aca="false">IF(A112="","",IFERROR(C112/B112,0))</f>
        <v/>
      </c>
      <c r="F112" s="19" t="str">
        <f aca="false">IF(A112="","",MAX(B112-C112,0))</f>
        <v/>
      </c>
      <c r="G112" s="19" t="str">
        <f aca="true">IF(OR(A112="",D112=""),"",IFERROR(F112/(DATEDIF(TODAY(),D112,"m")+1),F112))</f>
        <v/>
      </c>
    </row>
    <row r="113" customFormat="false" ht="15" hidden="false" customHeight="false" outlineLevel="0" collapsed="false">
      <c r="B113" s="19"/>
      <c r="C113" s="19"/>
      <c r="D113" s="20"/>
      <c r="E113" s="22" t="str">
        <f aca="false">IF(A113="","",IFERROR(C113/B113,0))</f>
        <v/>
      </c>
      <c r="F113" s="19" t="str">
        <f aca="false">IF(A113="","",MAX(B113-C113,0))</f>
        <v/>
      </c>
      <c r="G113" s="19" t="str">
        <f aca="true">IF(OR(A113="",D113=""),"",IFERROR(F113/(DATEDIF(TODAY(),D113,"m")+1),F113))</f>
        <v/>
      </c>
    </row>
    <row r="114" customFormat="false" ht="15" hidden="false" customHeight="false" outlineLevel="0" collapsed="false">
      <c r="B114" s="19"/>
      <c r="C114" s="19"/>
      <c r="D114" s="20"/>
      <c r="E114" s="22" t="str">
        <f aca="false">IF(A114="","",IFERROR(C114/B114,0))</f>
        <v/>
      </c>
      <c r="F114" s="19" t="str">
        <f aca="false">IF(A114="","",MAX(B114-C114,0))</f>
        <v/>
      </c>
      <c r="G114" s="19" t="str">
        <f aca="true">IF(OR(A114="",D114=""),"",IFERROR(F114/(DATEDIF(TODAY(),D114,"m")+1),F114))</f>
        <v/>
      </c>
    </row>
    <row r="115" customFormat="false" ht="15" hidden="false" customHeight="false" outlineLevel="0" collapsed="false">
      <c r="B115" s="19"/>
      <c r="C115" s="19"/>
      <c r="D115" s="20"/>
      <c r="E115" s="22" t="str">
        <f aca="false">IF(A115="","",IFERROR(C115/B115,0))</f>
        <v/>
      </c>
      <c r="F115" s="19" t="str">
        <f aca="false">IF(A115="","",MAX(B115-C115,0))</f>
        <v/>
      </c>
      <c r="G115" s="19" t="str">
        <f aca="true">IF(OR(A115="",D115=""),"",IFERROR(F115/(DATEDIF(TODAY(),D115,"m")+1),F115))</f>
        <v/>
      </c>
    </row>
    <row r="116" customFormat="false" ht="15" hidden="false" customHeight="false" outlineLevel="0" collapsed="false">
      <c r="B116" s="19"/>
      <c r="C116" s="19"/>
      <c r="D116" s="20"/>
      <c r="E116" s="22" t="str">
        <f aca="false">IF(A116="","",IFERROR(C116/B116,0))</f>
        <v/>
      </c>
      <c r="F116" s="19" t="str">
        <f aca="false">IF(A116="","",MAX(B116-C116,0))</f>
        <v/>
      </c>
      <c r="G116" s="19" t="str">
        <f aca="true">IF(OR(A116="",D116=""),"",IFERROR(F116/(DATEDIF(TODAY(),D116,"m")+1),F116))</f>
        <v/>
      </c>
    </row>
    <row r="117" customFormat="false" ht="15" hidden="false" customHeight="false" outlineLevel="0" collapsed="false">
      <c r="B117" s="19"/>
      <c r="C117" s="19"/>
      <c r="D117" s="20"/>
      <c r="E117" s="22" t="str">
        <f aca="false">IF(A117="","",IFERROR(C117/B117,0))</f>
        <v/>
      </c>
      <c r="F117" s="19" t="str">
        <f aca="false">IF(A117="","",MAX(B117-C117,0))</f>
        <v/>
      </c>
      <c r="G117" s="19" t="str">
        <f aca="true">IF(OR(A117="",D117=""),"",IFERROR(F117/(DATEDIF(TODAY(),D117,"m")+1),F117))</f>
        <v/>
      </c>
    </row>
    <row r="118" customFormat="false" ht="15" hidden="false" customHeight="false" outlineLevel="0" collapsed="false">
      <c r="B118" s="19"/>
      <c r="C118" s="19"/>
      <c r="D118" s="20"/>
      <c r="E118" s="22" t="str">
        <f aca="false">IF(A118="","",IFERROR(C118/B118,0))</f>
        <v/>
      </c>
      <c r="F118" s="19" t="str">
        <f aca="false">IF(A118="","",MAX(B118-C118,0))</f>
        <v/>
      </c>
      <c r="G118" s="19" t="str">
        <f aca="true">IF(OR(A118="",D118=""),"",IFERROR(F118/(DATEDIF(TODAY(),D118,"m")+1),F118))</f>
        <v/>
      </c>
    </row>
    <row r="119" customFormat="false" ht="15" hidden="false" customHeight="false" outlineLevel="0" collapsed="false">
      <c r="B119" s="19"/>
      <c r="C119" s="19"/>
      <c r="D119" s="20"/>
      <c r="E119" s="22" t="str">
        <f aca="false">IF(A119="","",IFERROR(C119/B119,0))</f>
        <v/>
      </c>
      <c r="F119" s="19" t="str">
        <f aca="false">IF(A119="","",MAX(B119-C119,0))</f>
        <v/>
      </c>
      <c r="G119" s="19" t="str">
        <f aca="true">IF(OR(A119="",D119=""),"",IFERROR(F119/(DATEDIF(TODAY(),D119,"m")+1),F119))</f>
        <v/>
      </c>
    </row>
    <row r="120" customFormat="false" ht="15" hidden="false" customHeight="false" outlineLevel="0" collapsed="false">
      <c r="B120" s="19"/>
      <c r="C120" s="19"/>
      <c r="D120" s="20"/>
      <c r="E120" s="22" t="str">
        <f aca="false">IF(A120="","",IFERROR(C120/B120,0))</f>
        <v/>
      </c>
      <c r="F120" s="19" t="str">
        <f aca="false">IF(A120="","",MAX(B120-C120,0))</f>
        <v/>
      </c>
      <c r="G120" s="19" t="str">
        <f aca="true">IF(OR(A120="",D120=""),"",IFERROR(F120/(DATEDIF(TODAY(),D120,"m")+1),F120))</f>
        <v/>
      </c>
    </row>
    <row r="121" customFormat="false" ht="15" hidden="false" customHeight="false" outlineLevel="0" collapsed="false">
      <c r="B121" s="19"/>
      <c r="C121" s="19"/>
      <c r="D121" s="20"/>
      <c r="E121" s="22" t="str">
        <f aca="false">IF(A121="","",IFERROR(C121/B121,0))</f>
        <v/>
      </c>
      <c r="F121" s="19" t="str">
        <f aca="false">IF(A121="","",MAX(B121-C121,0))</f>
        <v/>
      </c>
      <c r="G121" s="19" t="str">
        <f aca="true">IF(OR(A121="",D121=""),"",IFERROR(F121/(DATEDIF(TODAY(),D121,"m")+1),F121))</f>
        <v/>
      </c>
    </row>
    <row r="122" customFormat="false" ht="15" hidden="false" customHeight="false" outlineLevel="0" collapsed="false">
      <c r="B122" s="19"/>
      <c r="C122" s="19"/>
      <c r="D122" s="20"/>
      <c r="E122" s="22" t="str">
        <f aca="false">IF(A122="","",IFERROR(C122/B122,0))</f>
        <v/>
      </c>
      <c r="F122" s="19" t="str">
        <f aca="false">IF(A122="","",MAX(B122-C122,0))</f>
        <v/>
      </c>
      <c r="G122" s="19" t="str">
        <f aca="true">IF(OR(A122="",D122=""),"",IFERROR(F122/(DATEDIF(TODAY(),D122,"m")+1),F122))</f>
        <v/>
      </c>
    </row>
    <row r="123" customFormat="false" ht="15" hidden="false" customHeight="false" outlineLevel="0" collapsed="false">
      <c r="B123" s="19"/>
      <c r="C123" s="19"/>
      <c r="D123" s="20"/>
      <c r="E123" s="22" t="str">
        <f aca="false">IF(A123="","",IFERROR(C123/B123,0))</f>
        <v/>
      </c>
      <c r="F123" s="19" t="str">
        <f aca="false">IF(A123="","",MAX(B123-C123,0))</f>
        <v/>
      </c>
      <c r="G123" s="19" t="str">
        <f aca="true">IF(OR(A123="",D123=""),"",IFERROR(F123/(DATEDIF(TODAY(),D123,"m")+1),F123))</f>
        <v/>
      </c>
    </row>
    <row r="124" customFormat="false" ht="15" hidden="false" customHeight="false" outlineLevel="0" collapsed="false">
      <c r="B124" s="19"/>
      <c r="C124" s="19"/>
      <c r="D124" s="20"/>
      <c r="E124" s="22" t="str">
        <f aca="false">IF(A124="","",IFERROR(C124/B124,0))</f>
        <v/>
      </c>
      <c r="F124" s="19" t="str">
        <f aca="false">IF(A124="","",MAX(B124-C124,0))</f>
        <v/>
      </c>
      <c r="G124" s="19" t="str">
        <f aca="true">IF(OR(A124="",D124=""),"",IFERROR(F124/(DATEDIF(TODAY(),D124,"m")+1),F124))</f>
        <v/>
      </c>
    </row>
    <row r="125" customFormat="false" ht="15" hidden="false" customHeight="false" outlineLevel="0" collapsed="false">
      <c r="B125" s="19"/>
      <c r="C125" s="19"/>
      <c r="D125" s="20"/>
      <c r="E125" s="22" t="str">
        <f aca="false">IF(A125="","",IFERROR(C125/B125,0))</f>
        <v/>
      </c>
      <c r="F125" s="19" t="str">
        <f aca="false">IF(A125="","",MAX(B125-C125,0))</f>
        <v/>
      </c>
      <c r="G125" s="19" t="str">
        <f aca="true">IF(OR(A125="",D125=""),"",IFERROR(F125/(DATEDIF(TODAY(),D125,"m")+1),F125))</f>
        <v/>
      </c>
    </row>
    <row r="126" customFormat="false" ht="15" hidden="false" customHeight="false" outlineLevel="0" collapsed="false">
      <c r="B126" s="19"/>
      <c r="C126" s="19"/>
      <c r="D126" s="20"/>
      <c r="E126" s="22" t="str">
        <f aca="false">IF(A126="","",IFERROR(C126/B126,0))</f>
        <v/>
      </c>
      <c r="F126" s="19" t="str">
        <f aca="false">IF(A126="","",MAX(B126-C126,0))</f>
        <v/>
      </c>
      <c r="G126" s="19" t="str">
        <f aca="true">IF(OR(A126="",D126=""),"",IFERROR(F126/(DATEDIF(TODAY(),D126,"m")+1),F126))</f>
        <v/>
      </c>
    </row>
    <row r="127" customFormat="false" ht="15" hidden="false" customHeight="false" outlineLevel="0" collapsed="false">
      <c r="B127" s="19"/>
      <c r="C127" s="19"/>
      <c r="D127" s="20"/>
      <c r="E127" s="22" t="str">
        <f aca="false">IF(A127="","",IFERROR(C127/B127,0))</f>
        <v/>
      </c>
      <c r="F127" s="19" t="str">
        <f aca="false">IF(A127="","",MAX(B127-C127,0))</f>
        <v/>
      </c>
      <c r="G127" s="19" t="str">
        <f aca="true">IF(OR(A127="",D127=""),"",IFERROR(F127/(DATEDIF(TODAY(),D127,"m")+1),F127))</f>
        <v/>
      </c>
    </row>
    <row r="128" customFormat="false" ht="15" hidden="false" customHeight="false" outlineLevel="0" collapsed="false">
      <c r="B128" s="19"/>
      <c r="C128" s="19"/>
      <c r="D128" s="20"/>
      <c r="E128" s="22" t="str">
        <f aca="false">IF(A128="","",IFERROR(C128/B128,0))</f>
        <v/>
      </c>
      <c r="F128" s="19" t="str">
        <f aca="false">IF(A128="","",MAX(B128-C128,0))</f>
        <v/>
      </c>
      <c r="G128" s="19" t="str">
        <f aca="true">IF(OR(A128="",D128=""),"",IFERROR(F128/(DATEDIF(TODAY(),D128,"m")+1),F128))</f>
        <v/>
      </c>
    </row>
    <row r="129" customFormat="false" ht="15" hidden="false" customHeight="false" outlineLevel="0" collapsed="false">
      <c r="B129" s="19"/>
      <c r="C129" s="19"/>
      <c r="D129" s="20"/>
      <c r="E129" s="22" t="str">
        <f aca="false">IF(A129="","",IFERROR(C129/B129,0))</f>
        <v/>
      </c>
      <c r="F129" s="19" t="str">
        <f aca="false">IF(A129="","",MAX(B129-C129,0))</f>
        <v/>
      </c>
      <c r="G129" s="19" t="str">
        <f aca="true">IF(OR(A129="",D129=""),"",IFERROR(F129/(DATEDIF(TODAY(),D129,"m")+1),F129))</f>
        <v/>
      </c>
    </row>
    <row r="130" customFormat="false" ht="15" hidden="false" customHeight="false" outlineLevel="0" collapsed="false">
      <c r="B130" s="19"/>
      <c r="C130" s="19"/>
      <c r="D130" s="20"/>
      <c r="E130" s="22" t="str">
        <f aca="false">IF(A130="","",IFERROR(C130/B130,0))</f>
        <v/>
      </c>
      <c r="F130" s="19" t="str">
        <f aca="false">IF(A130="","",MAX(B130-C130,0))</f>
        <v/>
      </c>
      <c r="G130" s="19" t="str">
        <f aca="true">IF(OR(A130="",D130=""),"",IFERROR(F130/(DATEDIF(TODAY(),D130,"m")+1),F130))</f>
        <v/>
      </c>
    </row>
    <row r="131" customFormat="false" ht="15" hidden="false" customHeight="false" outlineLevel="0" collapsed="false">
      <c r="B131" s="19"/>
      <c r="C131" s="19"/>
      <c r="D131" s="20"/>
      <c r="E131" s="22" t="str">
        <f aca="false">IF(A131="","",IFERROR(C131/B131,0))</f>
        <v/>
      </c>
      <c r="F131" s="19" t="str">
        <f aca="false">IF(A131="","",MAX(B131-C131,0))</f>
        <v/>
      </c>
      <c r="G131" s="19" t="str">
        <f aca="true">IF(OR(A131="",D131=""),"",IFERROR(F131/(DATEDIF(TODAY(),D131,"m")+1),F131))</f>
        <v/>
      </c>
    </row>
    <row r="132" customFormat="false" ht="15" hidden="false" customHeight="false" outlineLevel="0" collapsed="false">
      <c r="B132" s="19"/>
      <c r="C132" s="19"/>
      <c r="D132" s="20"/>
      <c r="E132" s="22" t="str">
        <f aca="false">IF(A132="","",IFERROR(C132/B132,0))</f>
        <v/>
      </c>
      <c r="F132" s="19" t="str">
        <f aca="false">IF(A132="","",MAX(B132-C132,0))</f>
        <v/>
      </c>
      <c r="G132" s="19" t="str">
        <f aca="true">IF(OR(A132="",D132=""),"",IFERROR(F132/(DATEDIF(TODAY(),D132,"m")+1),F132))</f>
        <v/>
      </c>
    </row>
    <row r="133" customFormat="false" ht="15" hidden="false" customHeight="false" outlineLevel="0" collapsed="false">
      <c r="B133" s="19"/>
      <c r="C133" s="19"/>
      <c r="D133" s="20"/>
      <c r="E133" s="22" t="str">
        <f aca="false">IF(A133="","",IFERROR(C133/B133,0))</f>
        <v/>
      </c>
      <c r="F133" s="19" t="str">
        <f aca="false">IF(A133="","",MAX(B133-C133,0))</f>
        <v/>
      </c>
      <c r="G133" s="19" t="str">
        <f aca="true">IF(OR(A133="",D133=""),"",IFERROR(F133/(DATEDIF(TODAY(),D133,"m")+1),F133))</f>
        <v/>
      </c>
    </row>
    <row r="134" customFormat="false" ht="15" hidden="false" customHeight="false" outlineLevel="0" collapsed="false">
      <c r="B134" s="19"/>
      <c r="C134" s="19"/>
      <c r="D134" s="20"/>
      <c r="E134" s="22" t="str">
        <f aca="false">IF(A134="","",IFERROR(C134/B134,0))</f>
        <v/>
      </c>
      <c r="F134" s="19" t="str">
        <f aca="false">IF(A134="","",MAX(B134-C134,0))</f>
        <v/>
      </c>
      <c r="G134" s="19" t="str">
        <f aca="true">IF(OR(A134="",D134=""),"",IFERROR(F134/(DATEDIF(TODAY(),D134,"m")+1),F134))</f>
        <v/>
      </c>
    </row>
    <row r="135" customFormat="false" ht="15" hidden="false" customHeight="false" outlineLevel="0" collapsed="false">
      <c r="B135" s="19"/>
      <c r="C135" s="19"/>
      <c r="D135" s="20"/>
      <c r="E135" s="22" t="str">
        <f aca="false">IF(A135="","",IFERROR(C135/B135,0))</f>
        <v/>
      </c>
      <c r="F135" s="19" t="str">
        <f aca="false">IF(A135="","",MAX(B135-C135,0))</f>
        <v/>
      </c>
      <c r="G135" s="19" t="str">
        <f aca="true">IF(OR(A135="",D135=""),"",IFERROR(F135/(DATEDIF(TODAY(),D135,"m")+1),F135))</f>
        <v/>
      </c>
    </row>
    <row r="136" customFormat="false" ht="15" hidden="false" customHeight="false" outlineLevel="0" collapsed="false">
      <c r="B136" s="19"/>
      <c r="C136" s="19"/>
      <c r="D136" s="20"/>
      <c r="E136" s="22" t="str">
        <f aca="false">IF(A136="","",IFERROR(C136/B136,0))</f>
        <v/>
      </c>
      <c r="F136" s="19" t="str">
        <f aca="false">IF(A136="","",MAX(B136-C136,0))</f>
        <v/>
      </c>
      <c r="G136" s="19" t="str">
        <f aca="true">IF(OR(A136="",D136=""),"",IFERROR(F136/(DATEDIF(TODAY(),D136,"m")+1),F136))</f>
        <v/>
      </c>
    </row>
    <row r="137" customFormat="false" ht="15" hidden="false" customHeight="false" outlineLevel="0" collapsed="false">
      <c r="B137" s="19"/>
      <c r="C137" s="19"/>
      <c r="D137" s="20"/>
      <c r="E137" s="22" t="str">
        <f aca="false">IF(A137="","",IFERROR(C137/B137,0))</f>
        <v/>
      </c>
      <c r="F137" s="19" t="str">
        <f aca="false">IF(A137="","",MAX(B137-C137,0))</f>
        <v/>
      </c>
      <c r="G137" s="19" t="str">
        <f aca="true">IF(OR(A137="",D137=""),"",IFERROR(F137/(DATEDIF(TODAY(),D137,"m")+1),F137))</f>
        <v/>
      </c>
    </row>
    <row r="138" customFormat="false" ht="15" hidden="false" customHeight="false" outlineLevel="0" collapsed="false">
      <c r="B138" s="19"/>
      <c r="C138" s="19"/>
      <c r="D138" s="20"/>
      <c r="E138" s="22" t="str">
        <f aca="false">IF(A138="","",IFERROR(C138/B138,0))</f>
        <v/>
      </c>
      <c r="F138" s="19" t="str">
        <f aca="false">IF(A138="","",MAX(B138-C138,0))</f>
        <v/>
      </c>
      <c r="G138" s="19" t="str">
        <f aca="true">IF(OR(A138="",D138=""),"",IFERROR(F138/(DATEDIF(TODAY(),D138,"m")+1),F138))</f>
        <v/>
      </c>
    </row>
    <row r="139" customFormat="false" ht="15" hidden="false" customHeight="false" outlineLevel="0" collapsed="false">
      <c r="B139" s="19"/>
      <c r="C139" s="19"/>
      <c r="D139" s="20"/>
      <c r="E139" s="22" t="str">
        <f aca="false">IF(A139="","",IFERROR(C139/B139,0))</f>
        <v/>
      </c>
      <c r="F139" s="19" t="str">
        <f aca="false">IF(A139="","",MAX(B139-C139,0))</f>
        <v/>
      </c>
      <c r="G139" s="19" t="str">
        <f aca="true">IF(OR(A139="",D139=""),"",IFERROR(F139/(DATEDIF(TODAY(),D139,"m")+1),F139))</f>
        <v/>
      </c>
    </row>
    <row r="140" customFormat="false" ht="15" hidden="false" customHeight="false" outlineLevel="0" collapsed="false">
      <c r="B140" s="19"/>
      <c r="C140" s="19"/>
      <c r="D140" s="20"/>
      <c r="E140" s="22" t="str">
        <f aca="false">IF(A140="","",IFERROR(C140/B140,0))</f>
        <v/>
      </c>
      <c r="F140" s="19" t="str">
        <f aca="false">IF(A140="","",MAX(B140-C140,0))</f>
        <v/>
      </c>
      <c r="G140" s="19" t="str">
        <f aca="true">IF(OR(A140="",D140=""),"",IFERROR(F140/(DATEDIF(TODAY(),D140,"m")+1),F140))</f>
        <v/>
      </c>
    </row>
    <row r="141" customFormat="false" ht="15" hidden="false" customHeight="false" outlineLevel="0" collapsed="false">
      <c r="B141" s="19"/>
      <c r="C141" s="19"/>
      <c r="D141" s="20"/>
      <c r="E141" s="22" t="str">
        <f aca="false">IF(A141="","",IFERROR(C141/B141,0))</f>
        <v/>
      </c>
      <c r="F141" s="19" t="str">
        <f aca="false">IF(A141="","",MAX(B141-C141,0))</f>
        <v/>
      </c>
      <c r="G141" s="19" t="str">
        <f aca="true">IF(OR(A141="",D141=""),"",IFERROR(F141/(DATEDIF(TODAY(),D141,"m")+1),F141))</f>
        <v/>
      </c>
    </row>
    <row r="142" customFormat="false" ht="15" hidden="false" customHeight="false" outlineLevel="0" collapsed="false">
      <c r="B142" s="19"/>
      <c r="C142" s="19"/>
      <c r="D142" s="20"/>
      <c r="E142" s="22" t="str">
        <f aca="false">IF(A142="","",IFERROR(C142/B142,0))</f>
        <v/>
      </c>
      <c r="F142" s="19" t="str">
        <f aca="false">IF(A142="","",MAX(B142-C142,0))</f>
        <v/>
      </c>
      <c r="G142" s="19" t="str">
        <f aca="true">IF(OR(A142="",D142=""),"",IFERROR(F142/(DATEDIF(TODAY(),D142,"m")+1),F142))</f>
        <v/>
      </c>
    </row>
    <row r="143" customFormat="false" ht="15" hidden="false" customHeight="false" outlineLevel="0" collapsed="false">
      <c r="B143" s="19"/>
      <c r="C143" s="19"/>
      <c r="D143" s="20"/>
      <c r="E143" s="22" t="str">
        <f aca="false">IF(A143="","",IFERROR(C143/B143,0))</f>
        <v/>
      </c>
      <c r="F143" s="19" t="str">
        <f aca="false">IF(A143="","",MAX(B143-C143,0))</f>
        <v/>
      </c>
      <c r="G143" s="19" t="str">
        <f aca="true">IF(OR(A143="",D143=""),"",IFERROR(F143/(DATEDIF(TODAY(),D143,"m")+1),F143))</f>
        <v/>
      </c>
    </row>
    <row r="144" customFormat="false" ht="15" hidden="false" customHeight="false" outlineLevel="0" collapsed="false">
      <c r="B144" s="19"/>
      <c r="C144" s="19"/>
      <c r="D144" s="20"/>
      <c r="E144" s="22" t="str">
        <f aca="false">IF(A144="","",IFERROR(C144/B144,0))</f>
        <v/>
      </c>
      <c r="F144" s="19" t="str">
        <f aca="false">IF(A144="","",MAX(B144-C144,0))</f>
        <v/>
      </c>
      <c r="G144" s="19" t="str">
        <f aca="true">IF(OR(A144="",D144=""),"",IFERROR(F144/(DATEDIF(TODAY(),D144,"m")+1),F144))</f>
        <v/>
      </c>
    </row>
    <row r="145" customFormat="false" ht="15" hidden="false" customHeight="false" outlineLevel="0" collapsed="false">
      <c r="B145" s="19"/>
      <c r="C145" s="19"/>
      <c r="D145" s="20"/>
      <c r="E145" s="22" t="str">
        <f aca="false">IF(A145="","",IFERROR(C145/B145,0))</f>
        <v/>
      </c>
      <c r="F145" s="19" t="str">
        <f aca="false">IF(A145="","",MAX(B145-C145,0))</f>
        <v/>
      </c>
      <c r="G145" s="19" t="str">
        <f aca="true">IF(OR(A145="",D145=""),"",IFERROR(F145/(DATEDIF(TODAY(),D145,"m")+1),F145))</f>
        <v/>
      </c>
    </row>
    <row r="146" customFormat="false" ht="15" hidden="false" customHeight="false" outlineLevel="0" collapsed="false">
      <c r="B146" s="19"/>
      <c r="C146" s="19"/>
      <c r="D146" s="20"/>
      <c r="E146" s="22" t="str">
        <f aca="false">IF(A146="","",IFERROR(C146/B146,0))</f>
        <v/>
      </c>
      <c r="F146" s="19" t="str">
        <f aca="false">IF(A146="","",MAX(B146-C146,0))</f>
        <v/>
      </c>
      <c r="G146" s="19" t="str">
        <f aca="true">IF(OR(A146="",D146=""),"",IFERROR(F146/(DATEDIF(TODAY(),D146,"m")+1),F146))</f>
        <v/>
      </c>
    </row>
    <row r="147" customFormat="false" ht="15" hidden="false" customHeight="false" outlineLevel="0" collapsed="false">
      <c r="B147" s="19"/>
      <c r="C147" s="19"/>
      <c r="D147" s="20"/>
      <c r="E147" s="22" t="str">
        <f aca="false">IF(A147="","",IFERROR(C147/B147,0))</f>
        <v/>
      </c>
      <c r="F147" s="19" t="str">
        <f aca="false">IF(A147="","",MAX(B147-C147,0))</f>
        <v/>
      </c>
      <c r="G147" s="19" t="str">
        <f aca="true">IF(OR(A147="",D147=""),"",IFERROR(F147/(DATEDIF(TODAY(),D147,"m")+1),F147))</f>
        <v/>
      </c>
    </row>
    <row r="148" customFormat="false" ht="15" hidden="false" customHeight="false" outlineLevel="0" collapsed="false">
      <c r="B148" s="19"/>
      <c r="C148" s="19"/>
      <c r="D148" s="20"/>
      <c r="E148" s="22" t="str">
        <f aca="false">IF(A148="","",IFERROR(C148/B148,0))</f>
        <v/>
      </c>
      <c r="F148" s="19" t="str">
        <f aca="false">IF(A148="","",MAX(B148-C148,0))</f>
        <v/>
      </c>
      <c r="G148" s="19" t="str">
        <f aca="true">IF(OR(A148="",D148=""),"",IFERROR(F148/(DATEDIF(TODAY(),D148,"m")+1),F148))</f>
        <v/>
      </c>
    </row>
    <row r="149" customFormat="false" ht="15" hidden="false" customHeight="false" outlineLevel="0" collapsed="false">
      <c r="B149" s="19"/>
      <c r="C149" s="19"/>
      <c r="D149" s="20"/>
      <c r="E149" s="22" t="str">
        <f aca="false">IF(A149="","",IFERROR(C149/B149,0))</f>
        <v/>
      </c>
      <c r="F149" s="19" t="str">
        <f aca="false">IF(A149="","",MAX(B149-C149,0))</f>
        <v/>
      </c>
      <c r="G149" s="19" t="str">
        <f aca="true">IF(OR(A149="",D149=""),"",IFERROR(F149/(DATEDIF(TODAY(),D149,"m")+1),F149))</f>
        <v/>
      </c>
    </row>
    <row r="150" customFormat="false" ht="15" hidden="false" customHeight="false" outlineLevel="0" collapsed="false">
      <c r="B150" s="19"/>
      <c r="C150" s="19"/>
      <c r="D150" s="20"/>
      <c r="E150" s="22" t="str">
        <f aca="false">IF(A150="","",IFERROR(C150/B150,0))</f>
        <v/>
      </c>
      <c r="F150" s="19" t="str">
        <f aca="false">IF(A150="","",MAX(B150-C150,0))</f>
        <v/>
      </c>
      <c r="G150" s="19" t="str">
        <f aca="true">IF(OR(A150="",D150=""),"",IFERROR(F150/(DATEDIF(TODAY(),D150,"m")+1),F150))</f>
        <v/>
      </c>
    </row>
    <row r="151" customFormat="false" ht="15" hidden="false" customHeight="false" outlineLevel="0" collapsed="false">
      <c r="B151" s="19"/>
      <c r="C151" s="19"/>
      <c r="D151" s="20"/>
      <c r="E151" s="22" t="str">
        <f aca="false">IF(A151="","",IFERROR(C151/B151,0))</f>
        <v/>
      </c>
      <c r="F151" s="19" t="str">
        <f aca="false">IF(A151="","",MAX(B151-C151,0))</f>
        <v/>
      </c>
      <c r="G151" s="19" t="str">
        <f aca="true">IF(OR(A151="",D151=""),"",IFERROR(F151/(DATEDIF(TODAY(),D151,"m")+1),F151))</f>
        <v/>
      </c>
    </row>
    <row r="152" customFormat="false" ht="15" hidden="false" customHeight="false" outlineLevel="0" collapsed="false">
      <c r="B152" s="19"/>
      <c r="C152" s="19"/>
      <c r="D152" s="20"/>
      <c r="E152" s="22" t="str">
        <f aca="false">IF(A152="","",IFERROR(C152/B152,0))</f>
        <v/>
      </c>
      <c r="F152" s="19" t="str">
        <f aca="false">IF(A152="","",MAX(B152-C152,0))</f>
        <v/>
      </c>
      <c r="G152" s="19" t="str">
        <f aca="true">IF(OR(A152="",D152=""),"",IFERROR(F152/(DATEDIF(TODAY(),D152,"m")+1),F152))</f>
        <v/>
      </c>
    </row>
    <row r="153" customFormat="false" ht="15" hidden="false" customHeight="false" outlineLevel="0" collapsed="false">
      <c r="B153" s="19"/>
      <c r="C153" s="19"/>
      <c r="D153" s="20"/>
      <c r="E153" s="22" t="str">
        <f aca="false">IF(A153="","",IFERROR(C153/B153,0))</f>
        <v/>
      </c>
      <c r="F153" s="19" t="str">
        <f aca="false">IF(A153="","",MAX(B153-C153,0))</f>
        <v/>
      </c>
      <c r="G153" s="19" t="str">
        <f aca="true">IF(OR(A153="",D153=""),"",IFERROR(F153/(DATEDIF(TODAY(),D153,"m")+1),F153))</f>
        <v/>
      </c>
    </row>
    <row r="154" customFormat="false" ht="15" hidden="false" customHeight="false" outlineLevel="0" collapsed="false">
      <c r="B154" s="19"/>
      <c r="C154" s="19"/>
      <c r="D154" s="20"/>
      <c r="E154" s="22" t="str">
        <f aca="false">IF(A154="","",IFERROR(C154/B154,0))</f>
        <v/>
      </c>
      <c r="F154" s="19" t="str">
        <f aca="false">IF(A154="","",MAX(B154-C154,0))</f>
        <v/>
      </c>
      <c r="G154" s="19" t="str">
        <f aca="true">IF(OR(A154="",D154=""),"",IFERROR(F154/(DATEDIF(TODAY(),D154,"m")+1),F154))</f>
        <v/>
      </c>
    </row>
    <row r="155" customFormat="false" ht="15" hidden="false" customHeight="false" outlineLevel="0" collapsed="false">
      <c r="B155" s="19"/>
      <c r="C155" s="19"/>
      <c r="D155" s="20"/>
      <c r="E155" s="22" t="str">
        <f aca="false">IF(A155="","",IFERROR(C155/B155,0))</f>
        <v/>
      </c>
      <c r="F155" s="19" t="str">
        <f aca="false">IF(A155="","",MAX(B155-C155,0))</f>
        <v/>
      </c>
      <c r="G155" s="19" t="str">
        <f aca="true">IF(OR(A155="",D155=""),"",IFERROR(F155/(DATEDIF(TODAY(),D155,"m")+1),F155))</f>
        <v/>
      </c>
    </row>
    <row r="156" customFormat="false" ht="15" hidden="false" customHeight="false" outlineLevel="0" collapsed="false">
      <c r="B156" s="19"/>
      <c r="C156" s="19"/>
      <c r="D156" s="20"/>
      <c r="E156" s="22" t="str">
        <f aca="false">IF(A156="","",IFERROR(C156/B156,0))</f>
        <v/>
      </c>
      <c r="F156" s="19" t="str">
        <f aca="false">IF(A156="","",MAX(B156-C156,0))</f>
        <v/>
      </c>
      <c r="G156" s="19" t="str">
        <f aca="true">IF(OR(A156="",D156=""),"",IFERROR(F156/(DATEDIF(TODAY(),D156,"m")+1),F156))</f>
        <v/>
      </c>
    </row>
    <row r="157" customFormat="false" ht="15" hidden="false" customHeight="false" outlineLevel="0" collapsed="false">
      <c r="B157" s="19"/>
      <c r="C157" s="19"/>
      <c r="D157" s="20"/>
      <c r="E157" s="22" t="str">
        <f aca="false">IF(A157="","",IFERROR(C157/B157,0))</f>
        <v/>
      </c>
      <c r="F157" s="19" t="str">
        <f aca="false">IF(A157="","",MAX(B157-C157,0))</f>
        <v/>
      </c>
      <c r="G157" s="19" t="str">
        <f aca="true">IF(OR(A157="",D157=""),"",IFERROR(F157/(DATEDIF(TODAY(),D157,"m")+1),F157))</f>
        <v/>
      </c>
    </row>
    <row r="158" customFormat="false" ht="15" hidden="false" customHeight="false" outlineLevel="0" collapsed="false">
      <c r="B158" s="19"/>
      <c r="C158" s="19"/>
      <c r="D158" s="20"/>
      <c r="E158" s="22" t="str">
        <f aca="false">IF(A158="","",IFERROR(C158/B158,0))</f>
        <v/>
      </c>
      <c r="F158" s="19" t="str">
        <f aca="false">IF(A158="","",MAX(B158-C158,0))</f>
        <v/>
      </c>
      <c r="G158" s="19" t="str">
        <f aca="true">IF(OR(A158="",D158=""),"",IFERROR(F158/(DATEDIF(TODAY(),D158,"m")+1),F158))</f>
        <v/>
      </c>
    </row>
    <row r="159" customFormat="false" ht="15" hidden="false" customHeight="false" outlineLevel="0" collapsed="false">
      <c r="B159" s="19"/>
      <c r="C159" s="19"/>
      <c r="D159" s="20"/>
      <c r="E159" s="22" t="str">
        <f aca="false">IF(A159="","",IFERROR(C159/B159,0))</f>
        <v/>
      </c>
      <c r="F159" s="19" t="str">
        <f aca="false">IF(A159="","",MAX(B159-C159,0))</f>
        <v/>
      </c>
      <c r="G159" s="19" t="str">
        <f aca="true">IF(OR(A159="",D159=""),"",IFERROR(F159/(DATEDIF(TODAY(),D159,"m")+1),F159))</f>
        <v/>
      </c>
    </row>
    <row r="160" customFormat="false" ht="15" hidden="false" customHeight="false" outlineLevel="0" collapsed="false">
      <c r="B160" s="19"/>
      <c r="C160" s="19"/>
      <c r="D160" s="20"/>
      <c r="E160" s="22" t="str">
        <f aca="false">IF(A160="","",IFERROR(C160/B160,0))</f>
        <v/>
      </c>
      <c r="F160" s="19" t="str">
        <f aca="false">IF(A160="","",MAX(B160-C160,0))</f>
        <v/>
      </c>
      <c r="G160" s="19" t="str">
        <f aca="true">IF(OR(A160="",D160=""),"",IFERROR(F160/(DATEDIF(TODAY(),D160,"m")+1),F160))</f>
        <v/>
      </c>
    </row>
    <row r="161" customFormat="false" ht="15" hidden="false" customHeight="false" outlineLevel="0" collapsed="false">
      <c r="B161" s="19"/>
      <c r="C161" s="19"/>
      <c r="D161" s="20"/>
      <c r="E161" s="22" t="str">
        <f aca="false">IF(A161="","",IFERROR(C161/B161,0))</f>
        <v/>
      </c>
      <c r="F161" s="19" t="str">
        <f aca="false">IF(A161="","",MAX(B161-C161,0))</f>
        <v/>
      </c>
      <c r="G161" s="19" t="str">
        <f aca="true">IF(OR(A161="",D161=""),"",IFERROR(F161/(DATEDIF(TODAY(),D161,"m")+1),F161))</f>
        <v/>
      </c>
    </row>
    <row r="162" customFormat="false" ht="15" hidden="false" customHeight="false" outlineLevel="0" collapsed="false">
      <c r="B162" s="19"/>
      <c r="C162" s="19"/>
      <c r="D162" s="20"/>
      <c r="E162" s="22" t="str">
        <f aca="false">IF(A162="","",IFERROR(C162/B162,0))</f>
        <v/>
      </c>
      <c r="F162" s="19" t="str">
        <f aca="false">IF(A162="","",MAX(B162-C162,0))</f>
        <v/>
      </c>
      <c r="G162" s="19" t="str">
        <f aca="true">IF(OR(A162="",D162=""),"",IFERROR(F162/(DATEDIF(TODAY(),D162,"m")+1),F162))</f>
        <v/>
      </c>
    </row>
    <row r="163" customFormat="false" ht="15" hidden="false" customHeight="false" outlineLevel="0" collapsed="false">
      <c r="B163" s="19"/>
      <c r="C163" s="19"/>
      <c r="D163" s="20"/>
      <c r="E163" s="22" t="str">
        <f aca="false">IF(A163="","",IFERROR(C163/B163,0))</f>
        <v/>
      </c>
      <c r="F163" s="19" t="str">
        <f aca="false">IF(A163="","",MAX(B163-C163,0))</f>
        <v/>
      </c>
      <c r="G163" s="19" t="str">
        <f aca="true">IF(OR(A163="",D163=""),"",IFERROR(F163/(DATEDIF(TODAY(),D163,"m")+1),F163))</f>
        <v/>
      </c>
    </row>
    <row r="164" customFormat="false" ht="15" hidden="false" customHeight="false" outlineLevel="0" collapsed="false">
      <c r="B164" s="19"/>
      <c r="C164" s="19"/>
      <c r="D164" s="20"/>
      <c r="E164" s="22" t="str">
        <f aca="false">IF(A164="","",IFERROR(C164/B164,0))</f>
        <v/>
      </c>
      <c r="F164" s="19" t="str">
        <f aca="false">IF(A164="","",MAX(B164-C164,0))</f>
        <v/>
      </c>
      <c r="G164" s="19" t="str">
        <f aca="true">IF(OR(A164="",D164=""),"",IFERROR(F164/(DATEDIF(TODAY(),D164,"m")+1),F164))</f>
        <v/>
      </c>
    </row>
    <row r="165" customFormat="false" ht="15" hidden="false" customHeight="false" outlineLevel="0" collapsed="false">
      <c r="B165" s="19"/>
      <c r="C165" s="19"/>
      <c r="D165" s="20"/>
      <c r="E165" s="22" t="str">
        <f aca="false">IF(A165="","",IFERROR(C165/B165,0))</f>
        <v/>
      </c>
      <c r="F165" s="19" t="str">
        <f aca="false">IF(A165="","",MAX(B165-C165,0))</f>
        <v/>
      </c>
      <c r="G165" s="19" t="str">
        <f aca="true">IF(OR(A165="",D165=""),"",IFERROR(F165/(DATEDIF(TODAY(),D165,"m")+1),F165))</f>
        <v/>
      </c>
    </row>
    <row r="166" customFormat="false" ht="15" hidden="false" customHeight="false" outlineLevel="0" collapsed="false">
      <c r="B166" s="19"/>
      <c r="C166" s="19"/>
      <c r="D166" s="20"/>
      <c r="E166" s="22" t="str">
        <f aca="false">IF(A166="","",IFERROR(C166/B166,0))</f>
        <v/>
      </c>
      <c r="F166" s="19" t="str">
        <f aca="false">IF(A166="","",MAX(B166-C166,0))</f>
        <v/>
      </c>
      <c r="G166" s="19" t="str">
        <f aca="true">IF(OR(A166="",D166=""),"",IFERROR(F166/(DATEDIF(TODAY(),D166,"m")+1),F166))</f>
        <v/>
      </c>
    </row>
    <row r="167" customFormat="false" ht="15" hidden="false" customHeight="false" outlineLevel="0" collapsed="false">
      <c r="B167" s="19"/>
      <c r="C167" s="19"/>
      <c r="D167" s="20"/>
      <c r="E167" s="22" t="str">
        <f aca="false">IF(A167="","",IFERROR(C167/B167,0))</f>
        <v/>
      </c>
      <c r="F167" s="19" t="str">
        <f aca="false">IF(A167="","",MAX(B167-C167,0))</f>
        <v/>
      </c>
      <c r="G167" s="19" t="str">
        <f aca="true">IF(OR(A167="",D167=""),"",IFERROR(F167/(DATEDIF(TODAY(),D167,"m")+1),F167))</f>
        <v/>
      </c>
    </row>
    <row r="168" customFormat="false" ht="15" hidden="false" customHeight="false" outlineLevel="0" collapsed="false">
      <c r="B168" s="19"/>
      <c r="C168" s="19"/>
      <c r="D168" s="20"/>
      <c r="E168" s="22" t="str">
        <f aca="false">IF(A168="","",IFERROR(C168/B168,0))</f>
        <v/>
      </c>
      <c r="F168" s="19" t="str">
        <f aca="false">IF(A168="","",MAX(B168-C168,0))</f>
        <v/>
      </c>
      <c r="G168" s="19" t="str">
        <f aca="true">IF(OR(A168="",D168=""),"",IFERROR(F168/(DATEDIF(TODAY(),D168,"m")+1),F168))</f>
        <v/>
      </c>
    </row>
    <row r="169" customFormat="false" ht="15" hidden="false" customHeight="false" outlineLevel="0" collapsed="false">
      <c r="B169" s="19"/>
      <c r="C169" s="19"/>
      <c r="D169" s="20"/>
      <c r="E169" s="22" t="str">
        <f aca="false">IF(A169="","",IFERROR(C169/B169,0))</f>
        <v/>
      </c>
      <c r="F169" s="19" t="str">
        <f aca="false">IF(A169="","",MAX(B169-C169,0))</f>
        <v/>
      </c>
      <c r="G169" s="19" t="str">
        <f aca="true">IF(OR(A169="",D169=""),"",IFERROR(F169/(DATEDIF(TODAY(),D169,"m")+1),F169))</f>
        <v/>
      </c>
    </row>
    <row r="170" customFormat="false" ht="15" hidden="false" customHeight="false" outlineLevel="0" collapsed="false">
      <c r="B170" s="19"/>
      <c r="C170" s="19"/>
      <c r="D170" s="20"/>
      <c r="E170" s="22" t="str">
        <f aca="false">IF(A170="","",IFERROR(C170/B170,0))</f>
        <v/>
      </c>
      <c r="F170" s="19" t="str">
        <f aca="false">IF(A170="","",MAX(B170-C170,0))</f>
        <v/>
      </c>
      <c r="G170" s="19" t="str">
        <f aca="true">IF(OR(A170="",D170=""),"",IFERROR(F170/(DATEDIF(TODAY(),D170,"m")+1),F170))</f>
        <v/>
      </c>
    </row>
    <row r="171" customFormat="false" ht="15" hidden="false" customHeight="false" outlineLevel="0" collapsed="false">
      <c r="B171" s="19"/>
      <c r="C171" s="19"/>
      <c r="D171" s="20"/>
      <c r="E171" s="22" t="str">
        <f aca="false">IF(A171="","",IFERROR(C171/B171,0))</f>
        <v/>
      </c>
      <c r="F171" s="19" t="str">
        <f aca="false">IF(A171="","",MAX(B171-C171,0))</f>
        <v/>
      </c>
      <c r="G171" s="19" t="str">
        <f aca="true">IF(OR(A171="",D171=""),"",IFERROR(F171/(DATEDIF(TODAY(),D171,"m")+1),F171))</f>
        <v/>
      </c>
    </row>
    <row r="172" customFormat="false" ht="15" hidden="false" customHeight="false" outlineLevel="0" collapsed="false">
      <c r="B172" s="19"/>
      <c r="C172" s="19"/>
      <c r="D172" s="20"/>
      <c r="E172" s="22" t="str">
        <f aca="false">IF(A172="","",IFERROR(C172/B172,0))</f>
        <v/>
      </c>
      <c r="F172" s="19" t="str">
        <f aca="false">IF(A172="","",MAX(B172-C172,0))</f>
        <v/>
      </c>
      <c r="G172" s="19" t="str">
        <f aca="true">IF(OR(A172="",D172=""),"",IFERROR(F172/(DATEDIF(TODAY(),D172,"m")+1),F172))</f>
        <v/>
      </c>
    </row>
    <row r="173" customFormat="false" ht="15" hidden="false" customHeight="false" outlineLevel="0" collapsed="false">
      <c r="B173" s="19"/>
      <c r="C173" s="19"/>
      <c r="D173" s="20"/>
      <c r="E173" s="22" t="str">
        <f aca="false">IF(A173="","",IFERROR(C173/B173,0))</f>
        <v/>
      </c>
      <c r="F173" s="19" t="str">
        <f aca="false">IF(A173="","",MAX(B173-C173,0))</f>
        <v/>
      </c>
      <c r="G173" s="19" t="str">
        <f aca="true">IF(OR(A173="",D173=""),"",IFERROR(F173/(DATEDIF(TODAY(),D173,"m")+1),F173))</f>
        <v/>
      </c>
    </row>
    <row r="174" customFormat="false" ht="15" hidden="false" customHeight="false" outlineLevel="0" collapsed="false">
      <c r="B174" s="19"/>
      <c r="C174" s="19"/>
      <c r="D174" s="20"/>
      <c r="E174" s="22" t="str">
        <f aca="false">IF(A174="","",IFERROR(C174/B174,0))</f>
        <v/>
      </c>
      <c r="F174" s="19" t="str">
        <f aca="false">IF(A174="","",MAX(B174-C174,0))</f>
        <v/>
      </c>
      <c r="G174" s="19" t="str">
        <f aca="true">IF(OR(A174="",D174=""),"",IFERROR(F174/(DATEDIF(TODAY(),D174,"m")+1),F174))</f>
        <v/>
      </c>
    </row>
    <row r="175" customFormat="false" ht="15" hidden="false" customHeight="false" outlineLevel="0" collapsed="false">
      <c r="B175" s="19"/>
      <c r="C175" s="19"/>
      <c r="D175" s="20"/>
      <c r="E175" s="22" t="str">
        <f aca="false">IF(A175="","",IFERROR(C175/B175,0))</f>
        <v/>
      </c>
      <c r="F175" s="19" t="str">
        <f aca="false">IF(A175="","",MAX(B175-C175,0))</f>
        <v/>
      </c>
      <c r="G175" s="19" t="str">
        <f aca="true">IF(OR(A175="",D175=""),"",IFERROR(F175/(DATEDIF(TODAY(),D175,"m")+1),F175))</f>
        <v/>
      </c>
    </row>
    <row r="176" customFormat="false" ht="15" hidden="false" customHeight="false" outlineLevel="0" collapsed="false">
      <c r="B176" s="19"/>
      <c r="C176" s="19"/>
      <c r="D176" s="20"/>
      <c r="E176" s="22" t="str">
        <f aca="false">IF(A176="","",IFERROR(C176/B176,0))</f>
        <v/>
      </c>
      <c r="F176" s="19" t="str">
        <f aca="false">IF(A176="","",MAX(B176-C176,0))</f>
        <v/>
      </c>
      <c r="G176" s="19" t="str">
        <f aca="true">IF(OR(A176="",D176=""),"",IFERROR(F176/(DATEDIF(TODAY(),D176,"m")+1),F176))</f>
        <v/>
      </c>
    </row>
    <row r="177" customFormat="false" ht="15" hidden="false" customHeight="false" outlineLevel="0" collapsed="false">
      <c r="B177" s="19"/>
      <c r="C177" s="19"/>
      <c r="D177" s="20"/>
      <c r="E177" s="22" t="str">
        <f aca="false">IF(A177="","",IFERROR(C177/B177,0))</f>
        <v/>
      </c>
      <c r="F177" s="19" t="str">
        <f aca="false">IF(A177="","",MAX(B177-C177,0))</f>
        <v/>
      </c>
      <c r="G177" s="19" t="str">
        <f aca="true">IF(OR(A177="",D177=""),"",IFERROR(F177/(DATEDIF(TODAY(),D177,"m")+1),F177))</f>
        <v/>
      </c>
    </row>
    <row r="178" customFormat="false" ht="15" hidden="false" customHeight="false" outlineLevel="0" collapsed="false">
      <c r="B178" s="19"/>
      <c r="C178" s="19"/>
      <c r="D178" s="20"/>
      <c r="E178" s="22" t="str">
        <f aca="false">IF(A178="","",IFERROR(C178/B178,0))</f>
        <v/>
      </c>
      <c r="F178" s="19" t="str">
        <f aca="false">IF(A178="","",MAX(B178-C178,0))</f>
        <v/>
      </c>
      <c r="G178" s="19" t="str">
        <f aca="true">IF(OR(A178="",D178=""),"",IFERROR(F178/(DATEDIF(TODAY(),D178,"m")+1),F178))</f>
        <v/>
      </c>
    </row>
    <row r="179" customFormat="false" ht="15" hidden="false" customHeight="false" outlineLevel="0" collapsed="false">
      <c r="B179" s="19"/>
      <c r="C179" s="19"/>
      <c r="D179" s="20"/>
      <c r="E179" s="22" t="str">
        <f aca="false">IF(A179="","",IFERROR(C179/B179,0))</f>
        <v/>
      </c>
      <c r="F179" s="19" t="str">
        <f aca="false">IF(A179="","",MAX(B179-C179,0))</f>
        <v/>
      </c>
      <c r="G179" s="19" t="str">
        <f aca="true">IF(OR(A179="",D179=""),"",IFERROR(F179/(DATEDIF(TODAY(),D179,"m")+1),F179))</f>
        <v/>
      </c>
    </row>
    <row r="180" customFormat="false" ht="15" hidden="false" customHeight="false" outlineLevel="0" collapsed="false">
      <c r="B180" s="19"/>
      <c r="C180" s="19"/>
      <c r="D180" s="20"/>
      <c r="E180" s="22" t="str">
        <f aca="false">IF(A180="","",IFERROR(C180/B180,0))</f>
        <v/>
      </c>
      <c r="F180" s="19" t="str">
        <f aca="false">IF(A180="","",MAX(B180-C180,0))</f>
        <v/>
      </c>
      <c r="G180" s="19" t="str">
        <f aca="true">IF(OR(A180="",D180=""),"",IFERROR(F180/(DATEDIF(TODAY(),D180,"m")+1),F180))</f>
        <v/>
      </c>
    </row>
    <row r="181" customFormat="false" ht="15" hidden="false" customHeight="false" outlineLevel="0" collapsed="false">
      <c r="B181" s="19"/>
      <c r="C181" s="19"/>
      <c r="D181" s="20"/>
      <c r="E181" s="22" t="str">
        <f aca="false">IF(A181="","",IFERROR(C181/B181,0))</f>
        <v/>
      </c>
      <c r="F181" s="19" t="str">
        <f aca="false">IF(A181="","",MAX(B181-C181,0))</f>
        <v/>
      </c>
      <c r="G181" s="19" t="str">
        <f aca="true">IF(OR(A181="",D181=""),"",IFERROR(F181/(DATEDIF(TODAY(),D181,"m")+1),F181))</f>
        <v/>
      </c>
    </row>
    <row r="182" customFormat="false" ht="15" hidden="false" customHeight="false" outlineLevel="0" collapsed="false">
      <c r="B182" s="19"/>
      <c r="C182" s="19"/>
      <c r="D182" s="20"/>
      <c r="E182" s="22" t="str">
        <f aca="false">IF(A182="","",IFERROR(C182/B182,0))</f>
        <v/>
      </c>
      <c r="F182" s="19" t="str">
        <f aca="false">IF(A182="","",MAX(B182-C182,0))</f>
        <v/>
      </c>
      <c r="G182" s="19" t="str">
        <f aca="true">IF(OR(A182="",D182=""),"",IFERROR(F182/(DATEDIF(TODAY(),D182,"m")+1),F182))</f>
        <v/>
      </c>
    </row>
    <row r="183" customFormat="false" ht="15" hidden="false" customHeight="false" outlineLevel="0" collapsed="false">
      <c r="B183" s="19"/>
      <c r="C183" s="19"/>
      <c r="D183" s="20"/>
      <c r="E183" s="22" t="str">
        <f aca="false">IF(A183="","",IFERROR(C183/B183,0))</f>
        <v/>
      </c>
      <c r="F183" s="19" t="str">
        <f aca="false">IF(A183="","",MAX(B183-C183,0))</f>
        <v/>
      </c>
      <c r="G183" s="19" t="str">
        <f aca="true">IF(OR(A183="",D183=""),"",IFERROR(F183/(DATEDIF(TODAY(),D183,"m")+1),F183))</f>
        <v/>
      </c>
    </row>
    <row r="184" customFormat="false" ht="15" hidden="false" customHeight="false" outlineLevel="0" collapsed="false">
      <c r="B184" s="19"/>
      <c r="C184" s="19"/>
      <c r="D184" s="20"/>
      <c r="E184" s="22" t="str">
        <f aca="false">IF(A184="","",IFERROR(C184/B184,0))</f>
        <v/>
      </c>
      <c r="F184" s="19" t="str">
        <f aca="false">IF(A184="","",MAX(B184-C184,0))</f>
        <v/>
      </c>
      <c r="G184" s="19" t="str">
        <f aca="true">IF(OR(A184="",D184=""),"",IFERROR(F184/(DATEDIF(TODAY(),D184,"m")+1),F184))</f>
        <v/>
      </c>
    </row>
    <row r="185" customFormat="false" ht="15" hidden="false" customHeight="false" outlineLevel="0" collapsed="false">
      <c r="B185" s="19"/>
      <c r="C185" s="19"/>
      <c r="D185" s="20"/>
      <c r="E185" s="22" t="str">
        <f aca="false">IF(A185="","",IFERROR(C185/B185,0))</f>
        <v/>
      </c>
      <c r="F185" s="19" t="str">
        <f aca="false">IF(A185="","",MAX(B185-C185,0))</f>
        <v/>
      </c>
      <c r="G185" s="19" t="str">
        <f aca="true">IF(OR(A185="",D185=""),"",IFERROR(F185/(DATEDIF(TODAY(),D185,"m")+1),F185))</f>
        <v/>
      </c>
    </row>
    <row r="186" customFormat="false" ht="15" hidden="false" customHeight="false" outlineLevel="0" collapsed="false">
      <c r="B186" s="19"/>
      <c r="C186" s="19"/>
      <c r="D186" s="20"/>
      <c r="E186" s="22" t="str">
        <f aca="false">IF(A186="","",IFERROR(C186/B186,0))</f>
        <v/>
      </c>
      <c r="F186" s="19" t="str">
        <f aca="false">IF(A186="","",MAX(B186-C186,0))</f>
        <v/>
      </c>
      <c r="G186" s="19" t="str">
        <f aca="true">IF(OR(A186="",D186=""),"",IFERROR(F186/(DATEDIF(TODAY(),D186,"m")+1),F186))</f>
        <v/>
      </c>
    </row>
    <row r="187" customFormat="false" ht="15" hidden="false" customHeight="false" outlineLevel="0" collapsed="false">
      <c r="B187" s="19"/>
      <c r="C187" s="19"/>
      <c r="D187" s="20"/>
      <c r="E187" s="22" t="str">
        <f aca="false">IF(A187="","",IFERROR(C187/B187,0))</f>
        <v/>
      </c>
      <c r="F187" s="19" t="str">
        <f aca="false">IF(A187="","",MAX(B187-C187,0))</f>
        <v/>
      </c>
      <c r="G187" s="19" t="str">
        <f aca="true">IF(OR(A187="",D187=""),"",IFERROR(F187/(DATEDIF(TODAY(),D187,"m")+1),F187))</f>
        <v/>
      </c>
    </row>
    <row r="188" customFormat="false" ht="15" hidden="false" customHeight="false" outlineLevel="0" collapsed="false">
      <c r="B188" s="19"/>
      <c r="C188" s="19"/>
      <c r="D188" s="20"/>
      <c r="E188" s="22" t="str">
        <f aca="false">IF(A188="","",IFERROR(C188/B188,0))</f>
        <v/>
      </c>
      <c r="F188" s="19" t="str">
        <f aca="false">IF(A188="","",MAX(B188-C188,0))</f>
        <v/>
      </c>
      <c r="G188" s="19" t="str">
        <f aca="true">IF(OR(A188="",D188=""),"",IFERROR(F188/(DATEDIF(TODAY(),D188,"m")+1),F188))</f>
        <v/>
      </c>
    </row>
    <row r="189" customFormat="false" ht="15" hidden="false" customHeight="false" outlineLevel="0" collapsed="false">
      <c r="B189" s="19"/>
      <c r="C189" s="19"/>
      <c r="D189" s="20"/>
      <c r="E189" s="22" t="str">
        <f aca="false">IF(A189="","",IFERROR(C189/B189,0))</f>
        <v/>
      </c>
      <c r="F189" s="19" t="str">
        <f aca="false">IF(A189="","",MAX(B189-C189,0))</f>
        <v/>
      </c>
      <c r="G189" s="19" t="str">
        <f aca="true">IF(OR(A189="",D189=""),"",IFERROR(F189/(DATEDIF(TODAY(),D189,"m")+1),F189))</f>
        <v/>
      </c>
    </row>
    <row r="190" customFormat="false" ht="15" hidden="false" customHeight="false" outlineLevel="0" collapsed="false">
      <c r="B190" s="19"/>
      <c r="C190" s="19"/>
      <c r="D190" s="20"/>
      <c r="E190" s="22" t="str">
        <f aca="false">IF(A190="","",IFERROR(C190/B190,0))</f>
        <v/>
      </c>
      <c r="F190" s="19" t="str">
        <f aca="false">IF(A190="","",MAX(B190-C190,0))</f>
        <v/>
      </c>
      <c r="G190" s="19" t="str">
        <f aca="true">IF(OR(A190="",D190=""),"",IFERROR(F190/(DATEDIF(TODAY(),D190,"m")+1),F190))</f>
        <v/>
      </c>
    </row>
    <row r="191" customFormat="false" ht="15" hidden="false" customHeight="false" outlineLevel="0" collapsed="false">
      <c r="B191" s="19"/>
      <c r="C191" s="19"/>
      <c r="D191" s="20"/>
      <c r="E191" s="22" t="str">
        <f aca="false">IF(A191="","",IFERROR(C191/B191,0))</f>
        <v/>
      </c>
      <c r="F191" s="19" t="str">
        <f aca="false">IF(A191="","",MAX(B191-C191,0))</f>
        <v/>
      </c>
      <c r="G191" s="19" t="str">
        <f aca="true">IF(OR(A191="",D191=""),"",IFERROR(F191/(DATEDIF(TODAY(),D191,"m")+1),F191))</f>
        <v/>
      </c>
    </row>
    <row r="192" customFormat="false" ht="15" hidden="false" customHeight="false" outlineLevel="0" collapsed="false">
      <c r="B192" s="19"/>
      <c r="C192" s="19"/>
      <c r="D192" s="20"/>
      <c r="E192" s="22" t="str">
        <f aca="false">IF(A192="","",IFERROR(C192/B192,0))</f>
        <v/>
      </c>
      <c r="F192" s="19" t="str">
        <f aca="false">IF(A192="","",MAX(B192-C192,0))</f>
        <v/>
      </c>
      <c r="G192" s="19" t="str">
        <f aca="true">IF(OR(A192="",D192=""),"",IFERROR(F192/(DATEDIF(TODAY(),D192,"m")+1),F192))</f>
        <v/>
      </c>
    </row>
    <row r="193" customFormat="false" ht="15" hidden="false" customHeight="false" outlineLevel="0" collapsed="false">
      <c r="B193" s="19"/>
      <c r="C193" s="19"/>
      <c r="D193" s="20"/>
      <c r="E193" s="22" t="str">
        <f aca="false">IF(A193="","",IFERROR(C193/B193,0))</f>
        <v/>
      </c>
      <c r="F193" s="19" t="str">
        <f aca="false">IF(A193="","",MAX(B193-C193,0))</f>
        <v/>
      </c>
      <c r="G193" s="19" t="str">
        <f aca="true">IF(OR(A193="",D193=""),"",IFERROR(F193/(DATEDIF(TODAY(),D193,"m")+1),F193))</f>
        <v/>
      </c>
    </row>
    <row r="194" customFormat="false" ht="15" hidden="false" customHeight="false" outlineLevel="0" collapsed="false">
      <c r="B194" s="19"/>
      <c r="C194" s="19"/>
      <c r="D194" s="20"/>
      <c r="E194" s="22" t="str">
        <f aca="false">IF(A194="","",IFERROR(C194/B194,0))</f>
        <v/>
      </c>
      <c r="F194" s="19" t="str">
        <f aca="false">IF(A194="","",MAX(B194-C194,0))</f>
        <v/>
      </c>
      <c r="G194" s="19" t="str">
        <f aca="true">IF(OR(A194="",D194=""),"",IFERROR(F194/(DATEDIF(TODAY(),D194,"m")+1),F194))</f>
        <v/>
      </c>
    </row>
    <row r="195" customFormat="false" ht="15" hidden="false" customHeight="false" outlineLevel="0" collapsed="false">
      <c r="B195" s="19"/>
      <c r="C195" s="19"/>
      <c r="D195" s="20"/>
      <c r="E195" s="22" t="str">
        <f aca="false">IF(A195="","",IFERROR(C195/B195,0))</f>
        <v/>
      </c>
      <c r="F195" s="19" t="str">
        <f aca="false">IF(A195="","",MAX(B195-C195,0))</f>
        <v/>
      </c>
      <c r="G195" s="19" t="str">
        <f aca="true">IF(OR(A195="",D195=""),"",IFERROR(F195/(DATEDIF(TODAY(),D195,"m")+1),F195))</f>
        <v/>
      </c>
    </row>
    <row r="196" customFormat="false" ht="15" hidden="false" customHeight="false" outlineLevel="0" collapsed="false">
      <c r="B196" s="19"/>
      <c r="C196" s="19"/>
      <c r="D196" s="20"/>
      <c r="E196" s="22" t="str">
        <f aca="false">IF(A196="","",IFERROR(C196/B196,0))</f>
        <v/>
      </c>
      <c r="F196" s="19" t="str">
        <f aca="false">IF(A196="","",MAX(B196-C196,0))</f>
        <v/>
      </c>
      <c r="G196" s="19" t="str">
        <f aca="true">IF(OR(A196="",D196=""),"",IFERROR(F196/(DATEDIF(TODAY(),D196,"m")+1),F196))</f>
        <v/>
      </c>
    </row>
    <row r="197" customFormat="false" ht="15" hidden="false" customHeight="false" outlineLevel="0" collapsed="false">
      <c r="B197" s="19"/>
      <c r="C197" s="19"/>
      <c r="D197" s="20"/>
      <c r="E197" s="22" t="str">
        <f aca="false">IF(A197="","",IFERROR(C197/B197,0))</f>
        <v/>
      </c>
      <c r="F197" s="19" t="str">
        <f aca="false">IF(A197="","",MAX(B197-C197,0))</f>
        <v/>
      </c>
      <c r="G197" s="19" t="str">
        <f aca="true">IF(OR(A197="",D197=""),"",IFERROR(F197/(DATEDIF(TODAY(),D197,"m")+1),F197))</f>
        <v/>
      </c>
    </row>
    <row r="198" customFormat="false" ht="15" hidden="false" customHeight="false" outlineLevel="0" collapsed="false">
      <c r="B198" s="19"/>
      <c r="C198" s="19"/>
      <c r="D198" s="20"/>
      <c r="E198" s="22" t="str">
        <f aca="false">IF(A198="","",IFERROR(C198/B198,0))</f>
        <v/>
      </c>
      <c r="F198" s="19" t="str">
        <f aca="false">IF(A198="","",MAX(B198-C198,0))</f>
        <v/>
      </c>
      <c r="G198" s="19" t="str">
        <f aca="true">IF(OR(A198="",D198=""),"",IFERROR(F198/(DATEDIF(TODAY(),D198,"m")+1),F198))</f>
        <v/>
      </c>
    </row>
    <row r="199" customFormat="false" ht="15" hidden="false" customHeight="false" outlineLevel="0" collapsed="false">
      <c r="B199" s="19"/>
      <c r="C199" s="19"/>
      <c r="D199" s="20"/>
      <c r="E199" s="22" t="str">
        <f aca="false">IF(A199="","",IFERROR(C199/B199,0))</f>
        <v/>
      </c>
      <c r="F199" s="19" t="str">
        <f aca="false">IF(A199="","",MAX(B199-C199,0))</f>
        <v/>
      </c>
      <c r="G199" s="19" t="str">
        <f aca="true">IF(OR(A199="",D199=""),"",IFERROR(F199/(DATEDIF(TODAY(),D199,"m")+1),F199))</f>
        <v/>
      </c>
    </row>
    <row r="200" customFormat="false" ht="15" hidden="false" customHeight="false" outlineLevel="0" collapsed="false">
      <c r="B200" s="19"/>
      <c r="C200" s="19"/>
      <c r="D200" s="20"/>
      <c r="E200" s="22" t="str">
        <f aca="false">IF(A200="","",IFERROR(C200/B200,0))</f>
        <v/>
      </c>
      <c r="F200" s="19" t="str">
        <f aca="false">IF(A200="","",MAX(B200-C200,0))</f>
        <v/>
      </c>
      <c r="G200" s="19" t="str">
        <f aca="true">IF(OR(A200="",D200=""),"",IFERROR(F200/(DATEDIF(TODAY(),D200,"m")+1),F200))</f>
        <v/>
      </c>
    </row>
    <row r="201" customFormat="false" ht="15" hidden="false" customHeight="false" outlineLevel="0" collapsed="false">
      <c r="B201" s="19"/>
      <c r="C201" s="19"/>
      <c r="D201" s="20"/>
      <c r="E201" s="22" t="str">
        <f aca="false">IF(A201="","",IFERROR(C201/B201,0))</f>
        <v/>
      </c>
      <c r="F201" s="19" t="str">
        <f aca="false">IF(A201="","",MAX(B201-C201,0))</f>
        <v/>
      </c>
      <c r="G201" s="19" t="str">
        <f aca="true">IF(OR(A201="",D201=""),"",IFERROR(F201/(DATEDIF(TODAY(),D201,"m")+1),F201))</f>
        <v/>
      </c>
    </row>
    <row r="202" customFormat="false" ht="15" hidden="false" customHeight="false" outlineLevel="0" collapsed="false">
      <c r="B202" s="19"/>
      <c r="C202" s="19"/>
      <c r="D202" s="20"/>
      <c r="E202" s="22" t="str">
        <f aca="false">IF(A202="","",IFERROR(C202/B202,0))</f>
        <v/>
      </c>
      <c r="F202" s="19" t="str">
        <f aca="false">IF(A202="","",MAX(B202-C202,0))</f>
        <v/>
      </c>
      <c r="G202" s="19" t="str">
        <f aca="true">IF(OR(A202="",D202=""),"",IFERROR(F202/(DATEDIF(TODAY(),D202,"m")+1),F202))</f>
        <v/>
      </c>
    </row>
    <row r="203" customFormat="false" ht="15" hidden="false" customHeight="false" outlineLevel="0" collapsed="false">
      <c r="B203" s="19"/>
      <c r="C203" s="19"/>
      <c r="D203" s="20"/>
      <c r="E203" s="22" t="str">
        <f aca="false">IF(A203="","",IFERROR(C203/B203,0))</f>
        <v/>
      </c>
      <c r="F203" s="19" t="str">
        <f aca="false">IF(A203="","",MAX(B203-C203,0))</f>
        <v/>
      </c>
      <c r="G203" s="19" t="str">
        <f aca="true">IF(OR(A203="",D203=""),"",IFERROR(F203/(DATEDIF(TODAY(),D203,"m")+1),F203))</f>
        <v/>
      </c>
    </row>
    <row r="204" customFormat="false" ht="15" hidden="false" customHeight="false" outlineLevel="0" collapsed="false">
      <c r="B204" s="19"/>
      <c r="C204" s="19"/>
      <c r="D204" s="20"/>
      <c r="E204" s="22" t="str">
        <f aca="false">IF(A204="","",IFERROR(C204/B204,0))</f>
        <v/>
      </c>
      <c r="F204" s="19" t="str">
        <f aca="false">IF(A204="","",MAX(B204-C204,0))</f>
        <v/>
      </c>
      <c r="G204" s="19" t="str">
        <f aca="true">IF(OR(A204="",D204=""),"",IFERROR(F204/(DATEDIF(TODAY(),D204,"m")+1),F204))</f>
        <v/>
      </c>
    </row>
    <row r="205" customFormat="false" ht="15" hidden="false" customHeight="false" outlineLevel="0" collapsed="false">
      <c r="B205" s="19"/>
      <c r="C205" s="19"/>
      <c r="D205" s="20"/>
      <c r="E205" s="22" t="str">
        <f aca="false">IF(A205="","",IFERROR(C205/B205,0))</f>
        <v/>
      </c>
      <c r="F205" s="19" t="str">
        <f aca="false">IF(A205="","",MAX(B205-C205,0))</f>
        <v/>
      </c>
      <c r="G205" s="19" t="str">
        <f aca="true">IF(OR(A205="",D205=""),"",IFERROR(F205/(DATEDIF(TODAY(),D205,"m")+1),F205))</f>
        <v/>
      </c>
    </row>
    <row r="206" customFormat="false" ht="15" hidden="false" customHeight="false" outlineLevel="0" collapsed="false">
      <c r="B206" s="19"/>
      <c r="C206" s="19"/>
      <c r="D206" s="20"/>
      <c r="E206" s="22" t="str">
        <f aca="false">IF(A206="","",IFERROR(C206/B206,0))</f>
        <v/>
      </c>
      <c r="F206" s="19" t="str">
        <f aca="false">IF(A206="","",MAX(B206-C206,0))</f>
        <v/>
      </c>
      <c r="G206" s="19" t="str">
        <f aca="true">IF(OR(A206="",D206=""),"",IFERROR(F206/(DATEDIF(TODAY(),D206,"m")+1),F206))</f>
        <v/>
      </c>
    </row>
    <row r="207" customFormat="false" ht="15" hidden="false" customHeight="false" outlineLevel="0" collapsed="false">
      <c r="B207" s="19"/>
      <c r="C207" s="19"/>
      <c r="D207" s="20"/>
      <c r="E207" s="22" t="str">
        <f aca="false">IF(A207="","",IFERROR(C207/B207,0))</f>
        <v/>
      </c>
      <c r="F207" s="19" t="str">
        <f aca="false">IF(A207="","",MAX(B207-C207,0))</f>
        <v/>
      </c>
      <c r="G207" s="19" t="str">
        <f aca="true">IF(OR(A207="",D207=""),"",IFERROR(F207/(DATEDIF(TODAY(),D207,"m")+1),F207))</f>
        <v/>
      </c>
    </row>
    <row r="208" customFormat="false" ht="15" hidden="false" customHeight="false" outlineLevel="0" collapsed="false">
      <c r="B208" s="19"/>
      <c r="C208" s="19"/>
      <c r="D208" s="20"/>
      <c r="E208" s="22" t="str">
        <f aca="false">IF(A208="","",IFERROR(C208/B208,0))</f>
        <v/>
      </c>
      <c r="F208" s="19" t="str">
        <f aca="false">IF(A208="","",MAX(B208-C208,0))</f>
        <v/>
      </c>
      <c r="G208" s="19" t="str">
        <f aca="true">IF(OR(A208="",D208=""),"",IFERROR(F208/(DATEDIF(TODAY(),D208,"m")+1),F208))</f>
        <v/>
      </c>
    </row>
    <row r="209" customFormat="false" ht="15" hidden="false" customHeight="false" outlineLevel="0" collapsed="false">
      <c r="B209" s="19"/>
      <c r="C209" s="19"/>
      <c r="D209" s="20"/>
      <c r="E209" s="22" t="str">
        <f aca="false">IF(A209="","",IFERROR(C209/B209,0))</f>
        <v/>
      </c>
      <c r="F209" s="19" t="str">
        <f aca="false">IF(A209="","",MAX(B209-C209,0))</f>
        <v/>
      </c>
      <c r="G209" s="19" t="str">
        <f aca="true">IF(OR(A209="",D209=""),"",IFERROR(F209/(DATEDIF(TODAY(),D209,"m")+1),F209))</f>
        <v/>
      </c>
    </row>
    <row r="210" customFormat="false" ht="15" hidden="false" customHeight="false" outlineLevel="0" collapsed="false">
      <c r="B210" s="19"/>
      <c r="C210" s="19"/>
      <c r="D210" s="20"/>
      <c r="E210" s="22" t="str">
        <f aca="false">IF(A210="","",IFERROR(C210/B210,0))</f>
        <v/>
      </c>
      <c r="F210" s="19" t="str">
        <f aca="false">IF(A210="","",MAX(B210-C210,0))</f>
        <v/>
      </c>
      <c r="G210" s="19" t="str">
        <f aca="true">IF(OR(A210="",D210=""),"",IFERROR(F210/(DATEDIF(TODAY(),D210,"m")+1),F210))</f>
        <v/>
      </c>
    </row>
    <row r="211" customFormat="false" ht="15" hidden="false" customHeight="false" outlineLevel="0" collapsed="false">
      <c r="B211" s="19"/>
      <c r="C211" s="19"/>
      <c r="D211" s="20"/>
      <c r="E211" s="22" t="str">
        <f aca="false">IF(A211="","",IFERROR(C211/B211,0))</f>
        <v/>
      </c>
      <c r="F211" s="19" t="str">
        <f aca="false">IF(A211="","",MAX(B211-C211,0))</f>
        <v/>
      </c>
      <c r="G211" s="19" t="str">
        <f aca="true">IF(OR(A211="",D211=""),"",IFERROR(F211/(DATEDIF(TODAY(),D211,"m")+1),F211))</f>
        <v/>
      </c>
    </row>
    <row r="212" customFormat="false" ht="15" hidden="false" customHeight="false" outlineLevel="0" collapsed="false">
      <c r="B212" s="19"/>
      <c r="C212" s="19"/>
      <c r="D212" s="20"/>
      <c r="E212" s="22" t="str">
        <f aca="false">IF(A212="","",IFERROR(C212/B212,0))</f>
        <v/>
      </c>
      <c r="F212" s="19" t="str">
        <f aca="false">IF(A212="","",MAX(B212-C212,0))</f>
        <v/>
      </c>
      <c r="G212" s="19" t="str">
        <f aca="true">IF(OR(A212="",D212=""),"",IFERROR(F212/(DATEDIF(TODAY(),D212,"m")+1),F212))</f>
        <v/>
      </c>
    </row>
    <row r="213" customFormat="false" ht="15" hidden="false" customHeight="false" outlineLevel="0" collapsed="false">
      <c r="B213" s="19"/>
      <c r="C213" s="19"/>
      <c r="D213" s="20"/>
      <c r="E213" s="22" t="str">
        <f aca="false">IF(A213="","",IFERROR(C213/B213,0))</f>
        <v/>
      </c>
      <c r="F213" s="19" t="str">
        <f aca="false">IF(A213="","",MAX(B213-C213,0))</f>
        <v/>
      </c>
      <c r="G213" s="19" t="str">
        <f aca="true">IF(OR(A213="",D213=""),"",IFERROR(F213/(DATEDIF(TODAY(),D213,"m")+1),F213))</f>
        <v/>
      </c>
    </row>
    <row r="214" customFormat="false" ht="15" hidden="false" customHeight="false" outlineLevel="0" collapsed="false">
      <c r="B214" s="19"/>
      <c r="C214" s="19"/>
      <c r="D214" s="20"/>
      <c r="E214" s="22" t="str">
        <f aca="false">IF(A214="","",IFERROR(C214/B214,0))</f>
        <v/>
      </c>
      <c r="F214" s="19" t="str">
        <f aca="false">IF(A214="","",MAX(B214-C214,0))</f>
        <v/>
      </c>
      <c r="G214" s="19" t="str">
        <f aca="true">IF(OR(A214="",D214=""),"",IFERROR(F214/(DATEDIF(TODAY(),D214,"m")+1),F214))</f>
        <v/>
      </c>
    </row>
    <row r="215" customFormat="false" ht="15" hidden="false" customHeight="false" outlineLevel="0" collapsed="false">
      <c r="B215" s="19"/>
      <c r="C215" s="19"/>
      <c r="D215" s="20"/>
      <c r="E215" s="22" t="str">
        <f aca="false">IF(A215="","",IFERROR(C215/B215,0))</f>
        <v/>
      </c>
      <c r="F215" s="19" t="str">
        <f aca="false">IF(A215="","",MAX(B215-C215,0))</f>
        <v/>
      </c>
      <c r="G215" s="19" t="str">
        <f aca="true">IF(OR(A215="",D215=""),"",IFERROR(F215/(DATEDIF(TODAY(),D215,"m")+1),F215))</f>
        <v/>
      </c>
    </row>
    <row r="216" customFormat="false" ht="15" hidden="false" customHeight="false" outlineLevel="0" collapsed="false">
      <c r="B216" s="19"/>
      <c r="C216" s="19"/>
      <c r="D216" s="20"/>
      <c r="E216" s="22" t="str">
        <f aca="false">IF(A216="","",IFERROR(C216/B216,0))</f>
        <v/>
      </c>
      <c r="F216" s="19" t="str">
        <f aca="false">IF(A216="","",MAX(B216-C216,0))</f>
        <v/>
      </c>
      <c r="G216" s="19" t="str">
        <f aca="true">IF(OR(A216="",D216=""),"",IFERROR(F216/(DATEDIF(TODAY(),D216,"m")+1),F216))</f>
        <v/>
      </c>
    </row>
    <row r="217" customFormat="false" ht="15" hidden="false" customHeight="false" outlineLevel="0" collapsed="false">
      <c r="B217" s="19"/>
      <c r="C217" s="19"/>
      <c r="D217" s="20"/>
      <c r="E217" s="22" t="str">
        <f aca="false">IF(A217="","",IFERROR(C217/B217,0))</f>
        <v/>
      </c>
      <c r="F217" s="19" t="str">
        <f aca="false">IF(A217="","",MAX(B217-C217,0))</f>
        <v/>
      </c>
      <c r="G217" s="19" t="str">
        <f aca="true">IF(OR(A217="",D217=""),"",IFERROR(F217/(DATEDIF(TODAY(),D217,"m")+1),F217))</f>
        <v/>
      </c>
    </row>
    <row r="218" customFormat="false" ht="15" hidden="false" customHeight="false" outlineLevel="0" collapsed="false">
      <c r="B218" s="19"/>
      <c r="C218" s="19"/>
      <c r="D218" s="20"/>
      <c r="E218" s="22" t="str">
        <f aca="false">IF(A218="","",IFERROR(C218/B218,0))</f>
        <v/>
      </c>
      <c r="F218" s="19" t="str">
        <f aca="false">IF(A218="","",MAX(B218-C218,0))</f>
        <v/>
      </c>
      <c r="G218" s="19" t="str">
        <f aca="true">IF(OR(A218="",D218=""),"",IFERROR(F218/(DATEDIF(TODAY(),D218,"m")+1),F218))</f>
        <v/>
      </c>
    </row>
    <row r="219" customFormat="false" ht="15" hidden="false" customHeight="false" outlineLevel="0" collapsed="false">
      <c r="B219" s="19"/>
      <c r="C219" s="19"/>
      <c r="D219" s="20"/>
      <c r="E219" s="22" t="str">
        <f aca="false">IF(A219="","",IFERROR(C219/B219,0))</f>
        <v/>
      </c>
      <c r="F219" s="19" t="str">
        <f aca="false">IF(A219="","",MAX(B219-C219,0))</f>
        <v/>
      </c>
      <c r="G219" s="19" t="str">
        <f aca="true">IF(OR(A219="",D219=""),"",IFERROR(F219/(DATEDIF(TODAY(),D219,"m")+1),F219))</f>
        <v/>
      </c>
    </row>
    <row r="220" customFormat="false" ht="15" hidden="false" customHeight="false" outlineLevel="0" collapsed="false">
      <c r="B220" s="19"/>
      <c r="C220" s="19"/>
      <c r="D220" s="20"/>
      <c r="E220" s="22" t="str">
        <f aca="false">IF(A220="","",IFERROR(C220/B220,0))</f>
        <v/>
      </c>
      <c r="F220" s="19" t="str">
        <f aca="false">IF(A220="","",MAX(B220-C220,0))</f>
        <v/>
      </c>
      <c r="G220" s="19" t="str">
        <f aca="true">IF(OR(A220="",D220=""),"",IFERROR(F220/(DATEDIF(TODAY(),D220,"m")+1),F220))</f>
        <v/>
      </c>
    </row>
    <row r="221" customFormat="false" ht="15" hidden="false" customHeight="false" outlineLevel="0" collapsed="false">
      <c r="B221" s="19"/>
      <c r="C221" s="19"/>
      <c r="D221" s="20"/>
      <c r="E221" s="22" t="str">
        <f aca="false">IF(A221="","",IFERROR(C221/B221,0))</f>
        <v/>
      </c>
      <c r="F221" s="19" t="str">
        <f aca="false">IF(A221="","",MAX(B221-C221,0))</f>
        <v/>
      </c>
      <c r="G221" s="19" t="str">
        <f aca="true">IF(OR(A221="",D221=""),"",IFERROR(F221/(DATEDIF(TODAY(),D221,"m")+1),F221))</f>
        <v/>
      </c>
    </row>
    <row r="222" customFormat="false" ht="15" hidden="false" customHeight="false" outlineLevel="0" collapsed="false">
      <c r="B222" s="19"/>
      <c r="C222" s="19"/>
      <c r="D222" s="20"/>
      <c r="E222" s="22" t="str">
        <f aca="false">IF(A222="","",IFERROR(C222/B222,0))</f>
        <v/>
      </c>
      <c r="F222" s="19" t="str">
        <f aca="false">IF(A222="","",MAX(B222-C222,0))</f>
        <v/>
      </c>
      <c r="G222" s="19" t="str">
        <f aca="true">IF(OR(A222="",D222=""),"",IFERROR(F222/(DATEDIF(TODAY(),D222,"m")+1),F222))</f>
        <v/>
      </c>
    </row>
    <row r="223" customFormat="false" ht="15" hidden="false" customHeight="false" outlineLevel="0" collapsed="false">
      <c r="B223" s="19"/>
      <c r="C223" s="19"/>
      <c r="D223" s="20"/>
      <c r="E223" s="22" t="str">
        <f aca="false">IF(A223="","",IFERROR(C223/B223,0))</f>
        <v/>
      </c>
      <c r="F223" s="19" t="str">
        <f aca="false">IF(A223="","",MAX(B223-C223,0))</f>
        <v/>
      </c>
      <c r="G223" s="19" t="str">
        <f aca="true">IF(OR(A223="",D223=""),"",IFERROR(F223/(DATEDIF(TODAY(),D223,"m")+1),F223))</f>
        <v/>
      </c>
    </row>
    <row r="224" customFormat="false" ht="15" hidden="false" customHeight="false" outlineLevel="0" collapsed="false">
      <c r="B224" s="19"/>
      <c r="C224" s="19"/>
      <c r="D224" s="20"/>
      <c r="E224" s="22" t="str">
        <f aca="false">IF(A224="","",IFERROR(C224/B224,0))</f>
        <v/>
      </c>
      <c r="F224" s="19" t="str">
        <f aca="false">IF(A224="","",MAX(B224-C224,0))</f>
        <v/>
      </c>
      <c r="G224" s="19" t="str">
        <f aca="true">IF(OR(A224="",D224=""),"",IFERROR(F224/(DATEDIF(TODAY(),D224,"m")+1),F224))</f>
        <v/>
      </c>
    </row>
    <row r="225" customFormat="false" ht="15" hidden="false" customHeight="false" outlineLevel="0" collapsed="false">
      <c r="B225" s="19"/>
      <c r="C225" s="19"/>
      <c r="D225" s="20"/>
      <c r="E225" s="22" t="str">
        <f aca="false">IF(A225="","",IFERROR(C225/B225,0))</f>
        <v/>
      </c>
      <c r="F225" s="19" t="str">
        <f aca="false">IF(A225="","",MAX(B225-C225,0))</f>
        <v/>
      </c>
      <c r="G225" s="19" t="str">
        <f aca="true">IF(OR(A225="",D225=""),"",IFERROR(F225/(DATEDIF(TODAY(),D225,"m")+1),F225))</f>
        <v/>
      </c>
    </row>
    <row r="226" customFormat="false" ht="15" hidden="false" customHeight="false" outlineLevel="0" collapsed="false">
      <c r="B226" s="19"/>
      <c r="C226" s="19"/>
      <c r="D226" s="20"/>
      <c r="E226" s="22" t="str">
        <f aca="false">IF(A226="","",IFERROR(C226/B226,0))</f>
        <v/>
      </c>
      <c r="F226" s="19" t="str">
        <f aca="false">IF(A226="","",MAX(B226-C226,0))</f>
        <v/>
      </c>
      <c r="G226" s="19" t="str">
        <f aca="true">IF(OR(A226="",D226=""),"",IFERROR(F226/(DATEDIF(TODAY(),D226,"m")+1),F226))</f>
        <v/>
      </c>
    </row>
    <row r="227" customFormat="false" ht="15" hidden="false" customHeight="false" outlineLevel="0" collapsed="false">
      <c r="B227" s="19"/>
      <c r="C227" s="19"/>
      <c r="D227" s="20"/>
      <c r="E227" s="22" t="str">
        <f aca="false">IF(A227="","",IFERROR(C227/B227,0))</f>
        <v/>
      </c>
      <c r="F227" s="19" t="str">
        <f aca="false">IF(A227="","",MAX(B227-C227,0))</f>
        <v/>
      </c>
      <c r="G227" s="19" t="str">
        <f aca="true">IF(OR(A227="",D227=""),"",IFERROR(F227/(DATEDIF(TODAY(),D227,"m")+1),F227))</f>
        <v/>
      </c>
    </row>
    <row r="228" customFormat="false" ht="15" hidden="false" customHeight="false" outlineLevel="0" collapsed="false">
      <c r="B228" s="19"/>
      <c r="C228" s="19"/>
      <c r="D228" s="20"/>
      <c r="E228" s="22" t="str">
        <f aca="false">IF(A228="","",IFERROR(C228/B228,0))</f>
        <v/>
      </c>
      <c r="F228" s="19" t="str">
        <f aca="false">IF(A228="","",MAX(B228-C228,0))</f>
        <v/>
      </c>
      <c r="G228" s="19" t="str">
        <f aca="true">IF(OR(A228="",D228=""),"",IFERROR(F228/(DATEDIF(TODAY(),D228,"m")+1),F228))</f>
        <v/>
      </c>
    </row>
    <row r="229" customFormat="false" ht="15" hidden="false" customHeight="false" outlineLevel="0" collapsed="false">
      <c r="B229" s="19"/>
      <c r="C229" s="19"/>
      <c r="D229" s="20"/>
      <c r="E229" s="22" t="str">
        <f aca="false">IF(A229="","",IFERROR(C229/B229,0))</f>
        <v/>
      </c>
      <c r="F229" s="19" t="str">
        <f aca="false">IF(A229="","",MAX(B229-C229,0))</f>
        <v/>
      </c>
      <c r="G229" s="19" t="str">
        <f aca="true">IF(OR(A229="",D229=""),"",IFERROR(F229/(DATEDIF(TODAY(),D229,"m")+1),F229))</f>
        <v/>
      </c>
    </row>
    <row r="230" customFormat="false" ht="15" hidden="false" customHeight="false" outlineLevel="0" collapsed="false">
      <c r="B230" s="19"/>
      <c r="C230" s="19"/>
      <c r="D230" s="20"/>
      <c r="E230" s="22" t="str">
        <f aca="false">IF(A230="","",IFERROR(C230/B230,0))</f>
        <v/>
      </c>
      <c r="F230" s="19" t="str">
        <f aca="false">IF(A230="","",MAX(B230-C230,0))</f>
        <v/>
      </c>
      <c r="G230" s="19" t="str">
        <f aca="true">IF(OR(A230="",D230=""),"",IFERROR(F230/(DATEDIF(TODAY(),D230,"m")+1),F230))</f>
        <v/>
      </c>
    </row>
    <row r="231" customFormat="false" ht="15" hidden="false" customHeight="false" outlineLevel="0" collapsed="false">
      <c r="B231" s="19"/>
      <c r="C231" s="19"/>
      <c r="D231" s="20"/>
      <c r="E231" s="22" t="str">
        <f aca="false">IF(A231="","",IFERROR(C231/B231,0))</f>
        <v/>
      </c>
      <c r="F231" s="19" t="str">
        <f aca="false">IF(A231="","",MAX(B231-C231,0))</f>
        <v/>
      </c>
      <c r="G231" s="19" t="str">
        <f aca="true">IF(OR(A231="",D231=""),"",IFERROR(F231/(DATEDIF(TODAY(),D231,"m")+1),F231))</f>
        <v/>
      </c>
    </row>
    <row r="232" customFormat="false" ht="15" hidden="false" customHeight="false" outlineLevel="0" collapsed="false">
      <c r="B232" s="19"/>
      <c r="C232" s="19"/>
      <c r="D232" s="20"/>
      <c r="E232" s="22" t="str">
        <f aca="false">IF(A232="","",IFERROR(C232/B232,0))</f>
        <v/>
      </c>
      <c r="F232" s="19" t="str">
        <f aca="false">IF(A232="","",MAX(B232-C232,0))</f>
        <v/>
      </c>
      <c r="G232" s="19" t="str">
        <f aca="true">IF(OR(A232="",D232=""),"",IFERROR(F232/(DATEDIF(TODAY(),D232,"m")+1),F232))</f>
        <v/>
      </c>
    </row>
    <row r="233" customFormat="false" ht="15" hidden="false" customHeight="false" outlineLevel="0" collapsed="false">
      <c r="B233" s="19"/>
      <c r="C233" s="19"/>
      <c r="D233" s="20"/>
      <c r="E233" s="22" t="str">
        <f aca="false">IF(A233="","",IFERROR(C233/B233,0))</f>
        <v/>
      </c>
      <c r="F233" s="19" t="str">
        <f aca="false">IF(A233="","",MAX(B233-C233,0))</f>
        <v/>
      </c>
      <c r="G233" s="19" t="str">
        <f aca="true">IF(OR(A233="",D233=""),"",IFERROR(F233/(DATEDIF(TODAY(),D233,"m")+1),F233))</f>
        <v/>
      </c>
    </row>
    <row r="234" customFormat="false" ht="15" hidden="false" customHeight="false" outlineLevel="0" collapsed="false">
      <c r="B234" s="19"/>
      <c r="C234" s="19"/>
      <c r="D234" s="20"/>
      <c r="E234" s="22" t="str">
        <f aca="false">IF(A234="","",IFERROR(C234/B234,0))</f>
        <v/>
      </c>
      <c r="F234" s="19" t="str">
        <f aca="false">IF(A234="","",MAX(B234-C234,0))</f>
        <v/>
      </c>
      <c r="G234" s="19" t="str">
        <f aca="true">IF(OR(A234="",D234=""),"",IFERROR(F234/(DATEDIF(TODAY(),D234,"m")+1),F234))</f>
        <v/>
      </c>
    </row>
    <row r="235" customFormat="false" ht="15" hidden="false" customHeight="false" outlineLevel="0" collapsed="false">
      <c r="B235" s="19"/>
      <c r="C235" s="19"/>
      <c r="D235" s="20"/>
      <c r="E235" s="22" t="str">
        <f aca="false">IF(A235="","",IFERROR(C235/B235,0))</f>
        <v/>
      </c>
      <c r="F235" s="19" t="str">
        <f aca="false">IF(A235="","",MAX(B235-C235,0))</f>
        <v/>
      </c>
      <c r="G235" s="19" t="str">
        <f aca="true">IF(OR(A235="",D235=""),"",IFERROR(F235/(DATEDIF(TODAY(),D235,"m")+1),F235))</f>
        <v/>
      </c>
    </row>
    <row r="236" customFormat="false" ht="15" hidden="false" customHeight="false" outlineLevel="0" collapsed="false">
      <c r="B236" s="19"/>
      <c r="C236" s="19"/>
      <c r="D236" s="20"/>
      <c r="E236" s="22" t="str">
        <f aca="false">IF(A236="","",IFERROR(C236/B236,0))</f>
        <v/>
      </c>
      <c r="F236" s="19" t="str">
        <f aca="false">IF(A236="","",MAX(B236-C236,0))</f>
        <v/>
      </c>
      <c r="G236" s="19" t="str">
        <f aca="true">IF(OR(A236="",D236=""),"",IFERROR(F236/(DATEDIF(TODAY(),D236,"m")+1),F236))</f>
        <v/>
      </c>
    </row>
    <row r="237" customFormat="false" ht="15" hidden="false" customHeight="false" outlineLevel="0" collapsed="false">
      <c r="B237" s="19"/>
      <c r="C237" s="19"/>
      <c r="D237" s="20"/>
      <c r="E237" s="22" t="str">
        <f aca="false">IF(A237="","",IFERROR(C237/B237,0))</f>
        <v/>
      </c>
      <c r="F237" s="19" t="str">
        <f aca="false">IF(A237="","",MAX(B237-C237,0))</f>
        <v/>
      </c>
      <c r="G237" s="19" t="str">
        <f aca="true">IF(OR(A237="",D237=""),"",IFERROR(F237/(DATEDIF(TODAY(),D237,"m")+1),F237))</f>
        <v/>
      </c>
    </row>
    <row r="238" customFormat="false" ht="15" hidden="false" customHeight="false" outlineLevel="0" collapsed="false">
      <c r="B238" s="19"/>
      <c r="C238" s="19"/>
      <c r="D238" s="20"/>
      <c r="E238" s="22" t="str">
        <f aca="false">IF(A238="","",IFERROR(C238/B238,0))</f>
        <v/>
      </c>
      <c r="F238" s="19" t="str">
        <f aca="false">IF(A238="","",MAX(B238-C238,0))</f>
        <v/>
      </c>
      <c r="G238" s="19" t="str">
        <f aca="true">IF(OR(A238="",D238=""),"",IFERROR(F238/(DATEDIF(TODAY(),D238,"m")+1),F238))</f>
        <v/>
      </c>
    </row>
    <row r="239" customFormat="false" ht="15" hidden="false" customHeight="false" outlineLevel="0" collapsed="false">
      <c r="B239" s="19"/>
      <c r="C239" s="19"/>
      <c r="D239" s="20"/>
      <c r="E239" s="22" t="str">
        <f aca="false">IF(A239="","",IFERROR(C239/B239,0))</f>
        <v/>
      </c>
      <c r="F239" s="19" t="str">
        <f aca="false">IF(A239="","",MAX(B239-C239,0))</f>
        <v/>
      </c>
      <c r="G239" s="19" t="str">
        <f aca="true">IF(OR(A239="",D239=""),"",IFERROR(F239/(DATEDIF(TODAY(),D239,"m")+1),F239))</f>
        <v/>
      </c>
    </row>
    <row r="240" customFormat="false" ht="15" hidden="false" customHeight="false" outlineLevel="0" collapsed="false">
      <c r="B240" s="19"/>
      <c r="C240" s="19"/>
      <c r="D240" s="20"/>
      <c r="E240" s="22" t="str">
        <f aca="false">IF(A240="","",IFERROR(C240/B240,0))</f>
        <v/>
      </c>
      <c r="F240" s="19" t="str">
        <f aca="false">IF(A240="","",MAX(B240-C240,0))</f>
        <v/>
      </c>
      <c r="G240" s="19" t="str">
        <f aca="true">IF(OR(A240="",D240=""),"",IFERROR(F240/(DATEDIF(TODAY(),D240,"m")+1),F240))</f>
        <v/>
      </c>
    </row>
    <row r="241" customFormat="false" ht="15" hidden="false" customHeight="false" outlineLevel="0" collapsed="false">
      <c r="B241" s="19"/>
      <c r="C241" s="19"/>
      <c r="D241" s="20"/>
      <c r="E241" s="22" t="str">
        <f aca="false">IF(A241="","",IFERROR(C241/B241,0))</f>
        <v/>
      </c>
      <c r="F241" s="19" t="str">
        <f aca="false">IF(A241="","",MAX(B241-C241,0))</f>
        <v/>
      </c>
      <c r="G241" s="19" t="str">
        <f aca="true">IF(OR(A241="",D241=""),"",IFERROR(F241/(DATEDIF(TODAY(),D241,"m")+1),F241))</f>
        <v/>
      </c>
    </row>
    <row r="242" customFormat="false" ht="15" hidden="false" customHeight="false" outlineLevel="0" collapsed="false">
      <c r="B242" s="19"/>
      <c r="C242" s="19"/>
      <c r="D242" s="20"/>
      <c r="E242" s="22" t="str">
        <f aca="false">IF(A242="","",IFERROR(C242/B242,0))</f>
        <v/>
      </c>
      <c r="F242" s="19" t="str">
        <f aca="false">IF(A242="","",MAX(B242-C242,0))</f>
        <v/>
      </c>
      <c r="G242" s="19" t="str">
        <f aca="true">IF(OR(A242="",D242=""),"",IFERROR(F242/(DATEDIF(TODAY(),D242,"m")+1),F242))</f>
        <v/>
      </c>
    </row>
    <row r="243" customFormat="false" ht="15" hidden="false" customHeight="false" outlineLevel="0" collapsed="false">
      <c r="B243" s="19"/>
      <c r="C243" s="19"/>
      <c r="D243" s="20"/>
      <c r="E243" s="22" t="str">
        <f aca="false">IF(A243="","",IFERROR(C243/B243,0))</f>
        <v/>
      </c>
      <c r="F243" s="19" t="str">
        <f aca="false">IF(A243="","",MAX(B243-C243,0))</f>
        <v/>
      </c>
      <c r="G243" s="19" t="str">
        <f aca="true">IF(OR(A243="",D243=""),"",IFERROR(F243/(DATEDIF(TODAY(),D243,"m")+1),F243))</f>
        <v/>
      </c>
    </row>
    <row r="244" customFormat="false" ht="15" hidden="false" customHeight="false" outlineLevel="0" collapsed="false">
      <c r="B244" s="19"/>
      <c r="C244" s="19"/>
      <c r="D244" s="20"/>
      <c r="E244" s="22" t="str">
        <f aca="false">IF(A244="","",IFERROR(C244/B244,0))</f>
        <v/>
      </c>
      <c r="F244" s="19" t="str">
        <f aca="false">IF(A244="","",MAX(B244-C244,0))</f>
        <v/>
      </c>
      <c r="G244" s="19" t="str">
        <f aca="true">IF(OR(A244="",D244=""),"",IFERROR(F244/(DATEDIF(TODAY(),D244,"m")+1),F244))</f>
        <v/>
      </c>
    </row>
    <row r="245" customFormat="false" ht="15" hidden="false" customHeight="false" outlineLevel="0" collapsed="false">
      <c r="B245" s="19"/>
      <c r="C245" s="19"/>
      <c r="D245" s="20"/>
      <c r="E245" s="22" t="str">
        <f aca="false">IF(A245="","",IFERROR(C245/B245,0))</f>
        <v/>
      </c>
      <c r="F245" s="19" t="str">
        <f aca="false">IF(A245="","",MAX(B245-C245,0))</f>
        <v/>
      </c>
      <c r="G245" s="19" t="str">
        <f aca="true">IF(OR(A245="",D245=""),"",IFERROR(F245/(DATEDIF(TODAY(),D245,"m")+1),F245))</f>
        <v/>
      </c>
    </row>
    <row r="246" customFormat="false" ht="15" hidden="false" customHeight="false" outlineLevel="0" collapsed="false">
      <c r="B246" s="19"/>
      <c r="C246" s="19"/>
      <c r="D246" s="20"/>
      <c r="E246" s="22" t="str">
        <f aca="false">IF(A246="","",IFERROR(C246/B246,0))</f>
        <v/>
      </c>
      <c r="F246" s="19" t="str">
        <f aca="false">IF(A246="","",MAX(B246-C246,0))</f>
        <v/>
      </c>
      <c r="G246" s="19" t="str">
        <f aca="true">IF(OR(A246="",D246=""),"",IFERROR(F246/(DATEDIF(TODAY(),D246,"m")+1),F246))</f>
        <v/>
      </c>
    </row>
    <row r="247" customFormat="false" ht="15" hidden="false" customHeight="false" outlineLevel="0" collapsed="false">
      <c r="B247" s="19"/>
      <c r="C247" s="19"/>
      <c r="D247" s="20"/>
      <c r="E247" s="22" t="str">
        <f aca="false">IF(A247="","",IFERROR(C247/B247,0))</f>
        <v/>
      </c>
      <c r="F247" s="19" t="str">
        <f aca="false">IF(A247="","",MAX(B247-C247,0))</f>
        <v/>
      </c>
      <c r="G247" s="19" t="str">
        <f aca="true">IF(OR(A247="",D247=""),"",IFERROR(F247/(DATEDIF(TODAY(),D247,"m")+1),F247))</f>
        <v/>
      </c>
    </row>
    <row r="248" customFormat="false" ht="15" hidden="false" customHeight="false" outlineLevel="0" collapsed="false">
      <c r="B248" s="19"/>
      <c r="C248" s="19"/>
      <c r="D248" s="20"/>
      <c r="E248" s="22" t="str">
        <f aca="false">IF(A248="","",IFERROR(C248/B248,0))</f>
        <v/>
      </c>
      <c r="F248" s="19" t="str">
        <f aca="false">IF(A248="","",MAX(B248-C248,0))</f>
        <v/>
      </c>
      <c r="G248" s="19" t="str">
        <f aca="true">IF(OR(A248="",D248=""),"",IFERROR(F248/(DATEDIF(TODAY(),D248,"m")+1),F248))</f>
        <v/>
      </c>
    </row>
    <row r="249" customFormat="false" ht="15" hidden="false" customHeight="false" outlineLevel="0" collapsed="false">
      <c r="B249" s="19"/>
      <c r="C249" s="19"/>
      <c r="D249" s="20"/>
      <c r="E249" s="22" t="str">
        <f aca="false">IF(A249="","",IFERROR(C249/B249,0))</f>
        <v/>
      </c>
      <c r="F249" s="19" t="str">
        <f aca="false">IF(A249="","",MAX(B249-C249,0))</f>
        <v/>
      </c>
      <c r="G249" s="19" t="str">
        <f aca="true">IF(OR(A249="",D249=""),"",IFERROR(F249/(DATEDIF(TODAY(),D249,"m")+1),F249))</f>
        <v/>
      </c>
    </row>
    <row r="250" customFormat="false" ht="15" hidden="false" customHeight="false" outlineLevel="0" collapsed="false">
      <c r="B250" s="19"/>
      <c r="C250" s="19"/>
      <c r="D250" s="20"/>
      <c r="E250" s="22" t="str">
        <f aca="false">IF(A250="","",IFERROR(C250/B250,0))</f>
        <v/>
      </c>
      <c r="F250" s="19" t="str">
        <f aca="false">IF(A250="","",MAX(B250-C250,0))</f>
        <v/>
      </c>
      <c r="G250" s="19" t="str">
        <f aca="true">IF(OR(A250="",D250=""),"",IFERROR(F250/(DATEDIF(TODAY(),D250,"m")+1),F250))</f>
        <v/>
      </c>
    </row>
    <row r="251" customFormat="false" ht="15" hidden="false" customHeight="false" outlineLevel="0" collapsed="false">
      <c r="B251" s="19"/>
      <c r="C251" s="19"/>
      <c r="D251" s="20"/>
      <c r="E251" s="22" t="str">
        <f aca="false">IF(A251="","",IFERROR(C251/B251,0))</f>
        <v/>
      </c>
      <c r="F251" s="19" t="str">
        <f aca="false">IF(A251="","",MAX(B251-C251,0))</f>
        <v/>
      </c>
      <c r="G251" s="19" t="str">
        <f aca="true">IF(OR(A251="",D251=""),"",IFERROR(F251/(DATEDIF(TODAY(),D251,"m")+1),F251))</f>
        <v/>
      </c>
    </row>
    <row r="252" customFormat="false" ht="15" hidden="false" customHeight="false" outlineLevel="0" collapsed="false">
      <c r="B252" s="19"/>
      <c r="C252" s="19"/>
      <c r="D252" s="20"/>
      <c r="E252" s="22" t="str">
        <f aca="false">IF(A252="","",IFERROR(C252/B252,0))</f>
        <v/>
      </c>
      <c r="F252" s="19" t="str">
        <f aca="false">IF(A252="","",MAX(B252-C252,0))</f>
        <v/>
      </c>
      <c r="G252" s="19" t="str">
        <f aca="true">IF(OR(A252="",D252=""),"",IFERROR(F252/(DATEDIF(TODAY(),D252,"m")+1),F252))</f>
        <v/>
      </c>
    </row>
    <row r="253" customFormat="false" ht="15" hidden="false" customHeight="false" outlineLevel="0" collapsed="false">
      <c r="B253" s="19"/>
      <c r="C253" s="19"/>
      <c r="D253" s="20"/>
      <c r="E253" s="22" t="str">
        <f aca="false">IF(A253="","",IFERROR(C253/B253,0))</f>
        <v/>
      </c>
      <c r="F253" s="19" t="str">
        <f aca="false">IF(A253="","",MAX(B253-C253,0))</f>
        <v/>
      </c>
      <c r="G253" s="19" t="str">
        <f aca="true">IF(OR(A253="",D253=""),"",IFERROR(F253/(DATEDIF(TODAY(),D253,"m")+1),F253))</f>
        <v/>
      </c>
    </row>
    <row r="254" customFormat="false" ht="15" hidden="false" customHeight="false" outlineLevel="0" collapsed="false">
      <c r="B254" s="19"/>
      <c r="C254" s="19"/>
      <c r="D254" s="20"/>
      <c r="E254" s="22" t="str">
        <f aca="false">IF(A254="","",IFERROR(C254/B254,0))</f>
        <v/>
      </c>
      <c r="F254" s="19" t="str">
        <f aca="false">IF(A254="","",MAX(B254-C254,0))</f>
        <v/>
      </c>
      <c r="G254" s="19" t="str">
        <f aca="true">IF(OR(A254="",D254=""),"",IFERROR(F254/(DATEDIF(TODAY(),D254,"m")+1),F254))</f>
        <v/>
      </c>
    </row>
    <row r="255" customFormat="false" ht="15" hidden="false" customHeight="false" outlineLevel="0" collapsed="false">
      <c r="B255" s="19"/>
      <c r="C255" s="19"/>
      <c r="D255" s="20"/>
      <c r="E255" s="22" t="str">
        <f aca="false">IF(A255="","",IFERROR(C255/B255,0))</f>
        <v/>
      </c>
      <c r="F255" s="19" t="str">
        <f aca="false">IF(A255="","",MAX(B255-C255,0))</f>
        <v/>
      </c>
      <c r="G255" s="19" t="str">
        <f aca="true">IF(OR(A255="",D255=""),"",IFERROR(F255/(DATEDIF(TODAY(),D255,"m")+1),F255))</f>
        <v/>
      </c>
    </row>
    <row r="256" customFormat="false" ht="15" hidden="false" customHeight="false" outlineLevel="0" collapsed="false">
      <c r="B256" s="19"/>
      <c r="C256" s="19"/>
      <c r="D256" s="20"/>
      <c r="E256" s="22" t="str">
        <f aca="false">IF(A256="","",IFERROR(C256/B256,0))</f>
        <v/>
      </c>
      <c r="F256" s="19" t="str">
        <f aca="false">IF(A256="","",MAX(B256-C256,0))</f>
        <v/>
      </c>
      <c r="G256" s="19" t="str">
        <f aca="true">IF(OR(A256="",D256=""),"",IFERROR(F256/(DATEDIF(TODAY(),D256,"m")+1),F256))</f>
        <v/>
      </c>
    </row>
    <row r="257" customFormat="false" ht="15" hidden="false" customHeight="false" outlineLevel="0" collapsed="false">
      <c r="B257" s="19"/>
      <c r="C257" s="19"/>
      <c r="D257" s="20"/>
      <c r="E257" s="22" t="str">
        <f aca="false">IF(A257="","",IFERROR(C257/B257,0))</f>
        <v/>
      </c>
      <c r="F257" s="19" t="str">
        <f aca="false">IF(A257="","",MAX(B257-C257,0))</f>
        <v/>
      </c>
      <c r="G257" s="19" t="str">
        <f aca="true">IF(OR(A257="",D257=""),"",IFERROR(F257/(DATEDIF(TODAY(),D257,"m")+1),F257))</f>
        <v/>
      </c>
    </row>
    <row r="258" customFormat="false" ht="15" hidden="false" customHeight="false" outlineLevel="0" collapsed="false">
      <c r="B258" s="19"/>
      <c r="C258" s="19"/>
      <c r="D258" s="20"/>
      <c r="E258" s="22" t="str">
        <f aca="false">IF(A258="","",IFERROR(C258/B258,0))</f>
        <v/>
      </c>
      <c r="F258" s="19" t="str">
        <f aca="false">IF(A258="","",MAX(B258-C258,0))</f>
        <v/>
      </c>
      <c r="G258" s="19" t="str">
        <f aca="true">IF(OR(A258="",D258=""),"",IFERROR(F258/(DATEDIF(TODAY(),D258,"m")+1),F258))</f>
        <v/>
      </c>
    </row>
    <row r="259" customFormat="false" ht="15" hidden="false" customHeight="false" outlineLevel="0" collapsed="false">
      <c r="B259" s="19"/>
      <c r="C259" s="19"/>
      <c r="D259" s="20"/>
      <c r="E259" s="22" t="str">
        <f aca="false">IF(A259="","",IFERROR(C259/B259,0))</f>
        <v/>
      </c>
      <c r="F259" s="19" t="str">
        <f aca="false">IF(A259="","",MAX(B259-C259,0))</f>
        <v/>
      </c>
      <c r="G259" s="19" t="str">
        <f aca="true">IF(OR(A259="",D259=""),"",IFERROR(F259/(DATEDIF(TODAY(),D259,"m")+1),F259))</f>
        <v/>
      </c>
    </row>
    <row r="260" customFormat="false" ht="15" hidden="false" customHeight="false" outlineLevel="0" collapsed="false">
      <c r="B260" s="19"/>
      <c r="C260" s="19"/>
      <c r="D260" s="20"/>
      <c r="E260" s="22" t="str">
        <f aca="false">IF(A260="","",IFERROR(C260/B260,0))</f>
        <v/>
      </c>
      <c r="F260" s="19" t="str">
        <f aca="false">IF(A260="","",MAX(B260-C260,0))</f>
        <v/>
      </c>
      <c r="G260" s="19" t="str">
        <f aca="true">IF(OR(A260="",D260=""),"",IFERROR(F260/(DATEDIF(TODAY(),D260,"m")+1),F260))</f>
        <v/>
      </c>
    </row>
    <row r="261" customFormat="false" ht="15" hidden="false" customHeight="false" outlineLevel="0" collapsed="false">
      <c r="B261" s="19"/>
      <c r="C261" s="19"/>
      <c r="D261" s="20"/>
      <c r="E261" s="22" t="str">
        <f aca="false">IF(A261="","",IFERROR(C261/B261,0))</f>
        <v/>
      </c>
      <c r="F261" s="19" t="str">
        <f aca="false">IF(A261="","",MAX(B261-C261,0))</f>
        <v/>
      </c>
      <c r="G261" s="19" t="str">
        <f aca="true">IF(OR(A261="",D261=""),"",IFERROR(F261/(DATEDIF(TODAY(),D261,"m")+1),F261))</f>
        <v/>
      </c>
    </row>
    <row r="262" customFormat="false" ht="15" hidden="false" customHeight="false" outlineLevel="0" collapsed="false">
      <c r="B262" s="19"/>
      <c r="C262" s="19"/>
      <c r="D262" s="20"/>
      <c r="E262" s="22" t="str">
        <f aca="false">IF(A262="","",IFERROR(C262/B262,0))</f>
        <v/>
      </c>
      <c r="F262" s="19" t="str">
        <f aca="false">IF(A262="","",MAX(B262-C262,0))</f>
        <v/>
      </c>
      <c r="G262" s="19" t="str">
        <f aca="true">IF(OR(A262="",D262=""),"",IFERROR(F262/(DATEDIF(TODAY(),D262,"m")+1),F262))</f>
        <v/>
      </c>
    </row>
    <row r="263" customFormat="false" ht="15" hidden="false" customHeight="false" outlineLevel="0" collapsed="false">
      <c r="B263" s="19"/>
      <c r="C263" s="19"/>
      <c r="D263" s="20"/>
      <c r="E263" s="22" t="str">
        <f aca="false">IF(A263="","",IFERROR(C263/B263,0))</f>
        <v/>
      </c>
      <c r="F263" s="19" t="str">
        <f aca="false">IF(A263="","",MAX(B263-C263,0))</f>
        <v/>
      </c>
      <c r="G263" s="19" t="str">
        <f aca="true">IF(OR(A263="",D263=""),"",IFERROR(F263/(DATEDIF(TODAY(),D263,"m")+1),F263))</f>
        <v/>
      </c>
    </row>
    <row r="264" customFormat="false" ht="15" hidden="false" customHeight="false" outlineLevel="0" collapsed="false">
      <c r="B264" s="19"/>
      <c r="C264" s="19"/>
      <c r="D264" s="20"/>
      <c r="E264" s="22" t="str">
        <f aca="false">IF(A264="","",IFERROR(C264/B264,0))</f>
        <v/>
      </c>
      <c r="F264" s="19" t="str">
        <f aca="false">IF(A264="","",MAX(B264-C264,0))</f>
        <v/>
      </c>
      <c r="G264" s="19" t="str">
        <f aca="true">IF(OR(A264="",D264=""),"",IFERROR(F264/(DATEDIF(TODAY(),D264,"m")+1),F264))</f>
        <v/>
      </c>
    </row>
    <row r="265" customFormat="false" ht="15" hidden="false" customHeight="false" outlineLevel="0" collapsed="false">
      <c r="B265" s="19"/>
      <c r="C265" s="19"/>
      <c r="D265" s="20"/>
      <c r="E265" s="22" t="str">
        <f aca="false">IF(A265="","",IFERROR(C265/B265,0))</f>
        <v/>
      </c>
      <c r="F265" s="19" t="str">
        <f aca="false">IF(A265="","",MAX(B265-C265,0))</f>
        <v/>
      </c>
      <c r="G265" s="19" t="str">
        <f aca="true">IF(OR(A265="",D265=""),"",IFERROR(F265/(DATEDIF(TODAY(),D265,"m")+1),F265))</f>
        <v/>
      </c>
    </row>
    <row r="266" customFormat="false" ht="15" hidden="false" customHeight="false" outlineLevel="0" collapsed="false">
      <c r="B266" s="19"/>
      <c r="C266" s="19"/>
      <c r="D266" s="20"/>
      <c r="E266" s="22" t="str">
        <f aca="false">IF(A266="","",IFERROR(C266/B266,0))</f>
        <v/>
      </c>
      <c r="F266" s="19" t="str">
        <f aca="false">IF(A266="","",MAX(B266-C266,0))</f>
        <v/>
      </c>
      <c r="G266" s="19" t="str">
        <f aca="true">IF(OR(A266="",D266=""),"",IFERROR(F266/(DATEDIF(TODAY(),D266,"m")+1),F266))</f>
        <v/>
      </c>
    </row>
    <row r="267" customFormat="false" ht="15" hidden="false" customHeight="false" outlineLevel="0" collapsed="false">
      <c r="B267" s="19"/>
      <c r="C267" s="19"/>
      <c r="D267" s="20"/>
      <c r="E267" s="22" t="str">
        <f aca="false">IF(A267="","",IFERROR(C267/B267,0))</f>
        <v/>
      </c>
      <c r="F267" s="19" t="str">
        <f aca="false">IF(A267="","",MAX(B267-C267,0))</f>
        <v/>
      </c>
      <c r="G267" s="19" t="str">
        <f aca="true">IF(OR(A267="",D267=""),"",IFERROR(F267/(DATEDIF(TODAY(),D267,"m")+1),F267))</f>
        <v/>
      </c>
    </row>
    <row r="268" customFormat="false" ht="15" hidden="false" customHeight="false" outlineLevel="0" collapsed="false">
      <c r="B268" s="19"/>
      <c r="C268" s="19"/>
      <c r="D268" s="20"/>
      <c r="E268" s="22" t="str">
        <f aca="false">IF(A268="","",IFERROR(C268/B268,0))</f>
        <v/>
      </c>
      <c r="F268" s="19" t="str">
        <f aca="false">IF(A268="","",MAX(B268-C268,0))</f>
        <v/>
      </c>
      <c r="G268" s="19" t="str">
        <f aca="true">IF(OR(A268="",D268=""),"",IFERROR(F268/(DATEDIF(TODAY(),D268,"m")+1),F268))</f>
        <v/>
      </c>
    </row>
    <row r="269" customFormat="false" ht="15" hidden="false" customHeight="false" outlineLevel="0" collapsed="false">
      <c r="B269" s="19"/>
      <c r="C269" s="19"/>
      <c r="D269" s="20"/>
      <c r="E269" s="22" t="str">
        <f aca="false">IF(A269="","",IFERROR(C269/B269,0))</f>
        <v/>
      </c>
      <c r="F269" s="19" t="str">
        <f aca="false">IF(A269="","",MAX(B269-C269,0))</f>
        <v/>
      </c>
      <c r="G269" s="19" t="str">
        <f aca="true">IF(OR(A269="",D269=""),"",IFERROR(F269/(DATEDIF(TODAY(),D269,"m")+1),F269))</f>
        <v/>
      </c>
    </row>
    <row r="270" customFormat="false" ht="15" hidden="false" customHeight="false" outlineLevel="0" collapsed="false">
      <c r="B270" s="19"/>
      <c r="C270" s="19"/>
      <c r="D270" s="20"/>
      <c r="E270" s="22" t="str">
        <f aca="false">IF(A270="","",IFERROR(C270/B270,0))</f>
        <v/>
      </c>
      <c r="F270" s="19" t="str">
        <f aca="false">IF(A270="","",MAX(B270-C270,0))</f>
        <v/>
      </c>
      <c r="G270" s="19" t="str">
        <f aca="true">IF(OR(A270="",D270=""),"",IFERROR(F270/(DATEDIF(TODAY(),D270,"m")+1),F270))</f>
        <v/>
      </c>
    </row>
    <row r="271" customFormat="false" ht="15" hidden="false" customHeight="false" outlineLevel="0" collapsed="false">
      <c r="B271" s="19"/>
      <c r="C271" s="19"/>
      <c r="D271" s="20"/>
      <c r="E271" s="22" t="str">
        <f aca="false">IF(A271="","",IFERROR(C271/B271,0))</f>
        <v/>
      </c>
      <c r="F271" s="19" t="str">
        <f aca="false">IF(A271="","",MAX(B271-C271,0))</f>
        <v/>
      </c>
      <c r="G271" s="19" t="str">
        <f aca="true">IF(OR(A271="",D271=""),"",IFERROR(F271/(DATEDIF(TODAY(),D271,"m")+1),F271))</f>
        <v/>
      </c>
    </row>
    <row r="272" customFormat="false" ht="15" hidden="false" customHeight="false" outlineLevel="0" collapsed="false">
      <c r="B272" s="19"/>
      <c r="C272" s="19"/>
      <c r="D272" s="20"/>
      <c r="E272" s="22" t="str">
        <f aca="false">IF(A272="","",IFERROR(C272/B272,0))</f>
        <v/>
      </c>
      <c r="F272" s="19" t="str">
        <f aca="false">IF(A272="","",MAX(B272-C272,0))</f>
        <v/>
      </c>
      <c r="G272" s="19" t="str">
        <f aca="true">IF(OR(A272="",D272=""),"",IFERROR(F272/(DATEDIF(TODAY(),D272,"m")+1),F272))</f>
        <v/>
      </c>
    </row>
    <row r="273" customFormat="false" ht="15" hidden="false" customHeight="false" outlineLevel="0" collapsed="false">
      <c r="B273" s="19"/>
      <c r="C273" s="19"/>
      <c r="D273" s="20"/>
      <c r="E273" s="22" t="str">
        <f aca="false">IF(A273="","",IFERROR(C273/B273,0))</f>
        <v/>
      </c>
      <c r="F273" s="19" t="str">
        <f aca="false">IF(A273="","",MAX(B273-C273,0))</f>
        <v/>
      </c>
      <c r="G273" s="19" t="str">
        <f aca="true">IF(OR(A273="",D273=""),"",IFERROR(F273/(DATEDIF(TODAY(),D273,"m")+1),F273))</f>
        <v/>
      </c>
    </row>
    <row r="274" customFormat="false" ht="15" hidden="false" customHeight="false" outlineLevel="0" collapsed="false">
      <c r="B274" s="19"/>
      <c r="C274" s="19"/>
      <c r="D274" s="20"/>
      <c r="E274" s="22" t="str">
        <f aca="false">IF(A274="","",IFERROR(C274/B274,0))</f>
        <v/>
      </c>
      <c r="F274" s="19" t="str">
        <f aca="false">IF(A274="","",MAX(B274-C274,0))</f>
        <v/>
      </c>
      <c r="G274" s="19" t="str">
        <f aca="true">IF(OR(A274="",D274=""),"",IFERROR(F274/(DATEDIF(TODAY(),D274,"m")+1),F274))</f>
        <v/>
      </c>
    </row>
    <row r="275" customFormat="false" ht="15" hidden="false" customHeight="false" outlineLevel="0" collapsed="false">
      <c r="B275" s="19"/>
      <c r="C275" s="19"/>
      <c r="D275" s="20"/>
      <c r="E275" s="22" t="str">
        <f aca="false">IF(A275="","",IFERROR(C275/B275,0))</f>
        <v/>
      </c>
      <c r="F275" s="19" t="str">
        <f aca="false">IF(A275="","",MAX(B275-C275,0))</f>
        <v/>
      </c>
      <c r="G275" s="19" t="str">
        <f aca="true">IF(OR(A275="",D275=""),"",IFERROR(F275/(DATEDIF(TODAY(),D275,"m")+1),F275))</f>
        <v/>
      </c>
    </row>
    <row r="276" customFormat="false" ht="15" hidden="false" customHeight="false" outlineLevel="0" collapsed="false">
      <c r="B276" s="19"/>
      <c r="C276" s="19"/>
      <c r="D276" s="20"/>
      <c r="E276" s="22" t="str">
        <f aca="false">IF(A276="","",IFERROR(C276/B276,0))</f>
        <v/>
      </c>
      <c r="F276" s="19" t="str">
        <f aca="false">IF(A276="","",MAX(B276-C276,0))</f>
        <v/>
      </c>
      <c r="G276" s="19" t="str">
        <f aca="true">IF(OR(A276="",D276=""),"",IFERROR(F276/(DATEDIF(TODAY(),D276,"m")+1),F276))</f>
        <v/>
      </c>
    </row>
    <row r="277" customFormat="false" ht="15" hidden="false" customHeight="false" outlineLevel="0" collapsed="false">
      <c r="B277" s="19"/>
      <c r="C277" s="19"/>
      <c r="D277" s="20"/>
      <c r="E277" s="22" t="str">
        <f aca="false">IF(A277="","",IFERROR(C277/B277,0))</f>
        <v/>
      </c>
      <c r="F277" s="19" t="str">
        <f aca="false">IF(A277="","",MAX(B277-C277,0))</f>
        <v/>
      </c>
      <c r="G277" s="19" t="str">
        <f aca="true">IF(OR(A277="",D277=""),"",IFERROR(F277/(DATEDIF(TODAY(),D277,"m")+1),F277))</f>
        <v/>
      </c>
    </row>
    <row r="278" customFormat="false" ht="15" hidden="false" customHeight="false" outlineLevel="0" collapsed="false">
      <c r="B278" s="19"/>
      <c r="C278" s="19"/>
      <c r="D278" s="20"/>
      <c r="E278" s="22" t="str">
        <f aca="false">IF(A278="","",IFERROR(C278/B278,0))</f>
        <v/>
      </c>
      <c r="F278" s="19" t="str">
        <f aca="false">IF(A278="","",MAX(B278-C278,0))</f>
        <v/>
      </c>
      <c r="G278" s="19" t="str">
        <f aca="true">IF(OR(A278="",D278=""),"",IFERROR(F278/(DATEDIF(TODAY(),D278,"m")+1),F278))</f>
        <v/>
      </c>
    </row>
    <row r="279" customFormat="false" ht="15" hidden="false" customHeight="false" outlineLevel="0" collapsed="false">
      <c r="B279" s="19"/>
      <c r="C279" s="19"/>
      <c r="D279" s="20"/>
      <c r="E279" s="22" t="str">
        <f aca="false">IF(A279="","",IFERROR(C279/B279,0))</f>
        <v/>
      </c>
      <c r="F279" s="19" t="str">
        <f aca="false">IF(A279="","",MAX(B279-C279,0))</f>
        <v/>
      </c>
      <c r="G279" s="19" t="str">
        <f aca="true">IF(OR(A279="",D279=""),"",IFERROR(F279/(DATEDIF(TODAY(),D279,"m")+1),F279))</f>
        <v/>
      </c>
    </row>
    <row r="280" customFormat="false" ht="15" hidden="false" customHeight="false" outlineLevel="0" collapsed="false">
      <c r="B280" s="19"/>
      <c r="C280" s="19"/>
      <c r="D280" s="20"/>
      <c r="E280" s="22" t="str">
        <f aca="false">IF(A280="","",IFERROR(C280/B280,0))</f>
        <v/>
      </c>
      <c r="F280" s="19" t="str">
        <f aca="false">IF(A280="","",MAX(B280-C280,0))</f>
        <v/>
      </c>
      <c r="G280" s="19" t="str">
        <f aca="true">IF(OR(A280="",D280=""),"",IFERROR(F280/(DATEDIF(TODAY(),D280,"m")+1),F280))</f>
        <v/>
      </c>
    </row>
    <row r="281" customFormat="false" ht="15" hidden="false" customHeight="false" outlineLevel="0" collapsed="false">
      <c r="B281" s="19"/>
      <c r="C281" s="19"/>
      <c r="D281" s="20"/>
      <c r="E281" s="22" t="str">
        <f aca="false">IF(A281="","",IFERROR(C281/B281,0))</f>
        <v/>
      </c>
      <c r="F281" s="19" t="str">
        <f aca="false">IF(A281="","",MAX(B281-C281,0))</f>
        <v/>
      </c>
      <c r="G281" s="19" t="str">
        <f aca="true">IF(OR(A281="",D281=""),"",IFERROR(F281/(DATEDIF(TODAY(),D281,"m")+1),F281))</f>
        <v/>
      </c>
    </row>
    <row r="282" customFormat="false" ht="15" hidden="false" customHeight="false" outlineLevel="0" collapsed="false">
      <c r="B282" s="19"/>
      <c r="C282" s="19"/>
      <c r="D282" s="20"/>
      <c r="E282" s="22" t="str">
        <f aca="false">IF(A282="","",IFERROR(C282/B282,0))</f>
        <v/>
      </c>
      <c r="F282" s="19" t="str">
        <f aca="false">IF(A282="","",MAX(B282-C282,0))</f>
        <v/>
      </c>
      <c r="G282" s="19" t="str">
        <f aca="true">IF(OR(A282="",D282=""),"",IFERROR(F282/(DATEDIF(TODAY(),D282,"m")+1),F282))</f>
        <v/>
      </c>
    </row>
    <row r="283" customFormat="false" ht="15" hidden="false" customHeight="false" outlineLevel="0" collapsed="false">
      <c r="B283" s="19"/>
      <c r="C283" s="19"/>
      <c r="D283" s="20"/>
      <c r="E283" s="22" t="str">
        <f aca="false">IF(A283="","",IFERROR(C283/B283,0))</f>
        <v/>
      </c>
      <c r="F283" s="19" t="str">
        <f aca="false">IF(A283="","",MAX(B283-C283,0))</f>
        <v/>
      </c>
      <c r="G283" s="19" t="str">
        <f aca="true">IF(OR(A283="",D283=""),"",IFERROR(F283/(DATEDIF(TODAY(),D283,"m")+1),F283))</f>
        <v/>
      </c>
    </row>
    <row r="284" customFormat="false" ht="15" hidden="false" customHeight="false" outlineLevel="0" collapsed="false">
      <c r="B284" s="19"/>
      <c r="C284" s="19"/>
      <c r="D284" s="20"/>
      <c r="E284" s="22" t="str">
        <f aca="false">IF(A284="","",IFERROR(C284/B284,0))</f>
        <v/>
      </c>
      <c r="F284" s="19" t="str">
        <f aca="false">IF(A284="","",MAX(B284-C284,0))</f>
        <v/>
      </c>
      <c r="G284" s="19" t="str">
        <f aca="true">IF(OR(A284="",D284=""),"",IFERROR(F284/(DATEDIF(TODAY(),D284,"m")+1),F284))</f>
        <v/>
      </c>
    </row>
    <row r="285" customFormat="false" ht="15" hidden="false" customHeight="false" outlineLevel="0" collapsed="false">
      <c r="B285" s="19"/>
      <c r="C285" s="19"/>
      <c r="D285" s="20"/>
      <c r="E285" s="22" t="str">
        <f aca="false">IF(A285="","",IFERROR(C285/B285,0))</f>
        <v/>
      </c>
      <c r="F285" s="19" t="str">
        <f aca="false">IF(A285="","",MAX(B285-C285,0))</f>
        <v/>
      </c>
      <c r="G285" s="19" t="str">
        <f aca="true">IF(OR(A285="",D285=""),"",IFERROR(F285/(DATEDIF(TODAY(),D285,"m")+1),F285))</f>
        <v/>
      </c>
    </row>
    <row r="286" customFormat="false" ht="15" hidden="false" customHeight="false" outlineLevel="0" collapsed="false">
      <c r="B286" s="19"/>
      <c r="C286" s="19"/>
      <c r="D286" s="20"/>
      <c r="E286" s="22" t="str">
        <f aca="false">IF(A286="","",IFERROR(C286/B286,0))</f>
        <v/>
      </c>
      <c r="F286" s="19" t="str">
        <f aca="false">IF(A286="","",MAX(B286-C286,0))</f>
        <v/>
      </c>
      <c r="G286" s="19" t="str">
        <f aca="true">IF(OR(A286="",D286=""),"",IFERROR(F286/(DATEDIF(TODAY(),D286,"m")+1),F286))</f>
        <v/>
      </c>
    </row>
    <row r="287" customFormat="false" ht="15" hidden="false" customHeight="false" outlineLevel="0" collapsed="false">
      <c r="B287" s="19"/>
      <c r="C287" s="19"/>
      <c r="D287" s="20"/>
      <c r="E287" s="22" t="str">
        <f aca="false">IF(A287="","",IFERROR(C287/B287,0))</f>
        <v/>
      </c>
      <c r="F287" s="19" t="str">
        <f aca="false">IF(A287="","",MAX(B287-C287,0))</f>
        <v/>
      </c>
      <c r="G287" s="19" t="str">
        <f aca="true">IF(OR(A287="",D287=""),"",IFERROR(F287/(DATEDIF(TODAY(),D287,"m")+1),F287))</f>
        <v/>
      </c>
    </row>
    <row r="288" customFormat="false" ht="15" hidden="false" customHeight="false" outlineLevel="0" collapsed="false">
      <c r="B288" s="19"/>
      <c r="C288" s="19"/>
      <c r="D288" s="20"/>
      <c r="E288" s="22" t="str">
        <f aca="false">IF(A288="","",IFERROR(C288/B288,0))</f>
        <v/>
      </c>
      <c r="F288" s="19" t="str">
        <f aca="false">IF(A288="","",MAX(B288-C288,0))</f>
        <v/>
      </c>
      <c r="G288" s="19" t="str">
        <f aca="true">IF(OR(A288="",D288=""),"",IFERROR(F288/(DATEDIF(TODAY(),D288,"m")+1),F288))</f>
        <v/>
      </c>
    </row>
    <row r="289" customFormat="false" ht="15" hidden="false" customHeight="false" outlineLevel="0" collapsed="false">
      <c r="B289" s="19"/>
      <c r="C289" s="19"/>
      <c r="D289" s="20"/>
      <c r="E289" s="22" t="str">
        <f aca="false">IF(A289="","",IFERROR(C289/B289,0))</f>
        <v/>
      </c>
      <c r="F289" s="19" t="str">
        <f aca="false">IF(A289="","",MAX(B289-C289,0))</f>
        <v/>
      </c>
      <c r="G289" s="19" t="str">
        <f aca="true">IF(OR(A289="",D289=""),"",IFERROR(F289/(DATEDIF(TODAY(),D289,"m")+1),F289))</f>
        <v/>
      </c>
    </row>
    <row r="290" customFormat="false" ht="15" hidden="false" customHeight="false" outlineLevel="0" collapsed="false">
      <c r="B290" s="19"/>
      <c r="C290" s="19"/>
      <c r="D290" s="20"/>
      <c r="E290" s="22" t="str">
        <f aca="false">IF(A290="","",IFERROR(C290/B290,0))</f>
        <v/>
      </c>
      <c r="F290" s="19" t="str">
        <f aca="false">IF(A290="","",MAX(B290-C290,0))</f>
        <v/>
      </c>
      <c r="G290" s="19" t="str">
        <f aca="true">IF(OR(A290="",D290=""),"",IFERROR(F290/(DATEDIF(TODAY(),D290,"m")+1),F290))</f>
        <v/>
      </c>
    </row>
    <row r="291" customFormat="false" ht="15" hidden="false" customHeight="false" outlineLevel="0" collapsed="false">
      <c r="B291" s="19"/>
      <c r="C291" s="19"/>
      <c r="D291" s="20"/>
      <c r="E291" s="22" t="str">
        <f aca="false">IF(A291="","",IFERROR(C291/B291,0))</f>
        <v/>
      </c>
      <c r="F291" s="19" t="str">
        <f aca="false">IF(A291="","",MAX(B291-C291,0))</f>
        <v/>
      </c>
      <c r="G291" s="19" t="str">
        <f aca="true">IF(OR(A291="",D291=""),"",IFERROR(F291/(DATEDIF(TODAY(),D291,"m")+1),F291))</f>
        <v/>
      </c>
    </row>
    <row r="292" customFormat="false" ht="15" hidden="false" customHeight="false" outlineLevel="0" collapsed="false">
      <c r="B292" s="19"/>
      <c r="C292" s="19"/>
      <c r="D292" s="20"/>
      <c r="E292" s="22" t="str">
        <f aca="false">IF(A292="","",IFERROR(C292/B292,0))</f>
        <v/>
      </c>
      <c r="F292" s="19" t="str">
        <f aca="false">IF(A292="","",MAX(B292-C292,0))</f>
        <v/>
      </c>
      <c r="G292" s="19" t="str">
        <f aca="true">IF(OR(A292="",D292=""),"",IFERROR(F292/(DATEDIF(TODAY(),D292,"m")+1),F292))</f>
        <v/>
      </c>
    </row>
    <row r="293" customFormat="false" ht="15" hidden="false" customHeight="false" outlineLevel="0" collapsed="false">
      <c r="B293" s="19"/>
      <c r="C293" s="19"/>
      <c r="D293" s="20"/>
      <c r="E293" s="22" t="str">
        <f aca="false">IF(A293="","",IFERROR(C293/B293,0))</f>
        <v/>
      </c>
      <c r="F293" s="19" t="str">
        <f aca="false">IF(A293="","",MAX(B293-C293,0))</f>
        <v/>
      </c>
      <c r="G293" s="19" t="str">
        <f aca="true">IF(OR(A293="",D293=""),"",IFERROR(F293/(DATEDIF(TODAY(),D293,"m")+1),F293))</f>
        <v/>
      </c>
    </row>
    <row r="294" customFormat="false" ht="15" hidden="false" customHeight="false" outlineLevel="0" collapsed="false">
      <c r="B294" s="19"/>
      <c r="C294" s="19"/>
      <c r="D294" s="20"/>
      <c r="E294" s="22" t="str">
        <f aca="false">IF(A294="","",IFERROR(C294/B294,0))</f>
        <v/>
      </c>
      <c r="F294" s="19" t="str">
        <f aca="false">IF(A294="","",MAX(B294-C294,0))</f>
        <v/>
      </c>
      <c r="G294" s="19" t="str">
        <f aca="true">IF(OR(A294="",D294=""),"",IFERROR(F294/(DATEDIF(TODAY(),D294,"m")+1),F294))</f>
        <v/>
      </c>
    </row>
    <row r="295" customFormat="false" ht="15" hidden="false" customHeight="false" outlineLevel="0" collapsed="false">
      <c r="B295" s="19"/>
      <c r="C295" s="19"/>
      <c r="D295" s="20"/>
      <c r="E295" s="22" t="str">
        <f aca="false">IF(A295="","",IFERROR(C295/B295,0))</f>
        <v/>
      </c>
      <c r="F295" s="19" t="str">
        <f aca="false">IF(A295="","",MAX(B295-C295,0))</f>
        <v/>
      </c>
      <c r="G295" s="19" t="str">
        <f aca="true">IF(OR(A295="",D295=""),"",IFERROR(F295/(DATEDIF(TODAY(),D295,"m")+1),F295))</f>
        <v/>
      </c>
    </row>
    <row r="296" customFormat="false" ht="15" hidden="false" customHeight="false" outlineLevel="0" collapsed="false">
      <c r="B296" s="19"/>
      <c r="C296" s="19"/>
      <c r="D296" s="20"/>
      <c r="E296" s="22" t="str">
        <f aca="false">IF(A296="","",IFERROR(C296/B296,0))</f>
        <v/>
      </c>
      <c r="F296" s="19" t="str">
        <f aca="false">IF(A296="","",MAX(B296-C296,0))</f>
        <v/>
      </c>
      <c r="G296" s="19" t="str">
        <f aca="true">IF(OR(A296="",D296=""),"",IFERROR(F296/(DATEDIF(TODAY(),D296,"m")+1),F296))</f>
        <v/>
      </c>
    </row>
    <row r="297" customFormat="false" ht="15" hidden="false" customHeight="false" outlineLevel="0" collapsed="false">
      <c r="B297" s="19"/>
      <c r="C297" s="19"/>
      <c r="D297" s="20"/>
      <c r="E297" s="22" t="str">
        <f aca="false">IF(A297="","",IFERROR(C297/B297,0))</f>
        <v/>
      </c>
      <c r="F297" s="19" t="str">
        <f aca="false">IF(A297="","",MAX(B297-C297,0))</f>
        <v/>
      </c>
      <c r="G297" s="19" t="str">
        <f aca="true">IF(OR(A297="",D297=""),"",IFERROR(F297/(DATEDIF(TODAY(),D297,"m")+1),F297))</f>
        <v/>
      </c>
    </row>
    <row r="298" customFormat="false" ht="15" hidden="false" customHeight="false" outlineLevel="0" collapsed="false">
      <c r="B298" s="19"/>
      <c r="C298" s="19"/>
      <c r="D298" s="20"/>
      <c r="E298" s="22" t="str">
        <f aca="false">IF(A298="","",IFERROR(C298/B298,0))</f>
        <v/>
      </c>
      <c r="F298" s="19" t="str">
        <f aca="false">IF(A298="","",MAX(B298-C298,0))</f>
        <v/>
      </c>
      <c r="G298" s="19" t="str">
        <f aca="true">IF(OR(A298="",D298=""),"",IFERROR(F298/(DATEDIF(TODAY(),D298,"m")+1),F298))</f>
        <v/>
      </c>
    </row>
    <row r="299" customFormat="false" ht="15" hidden="false" customHeight="false" outlineLevel="0" collapsed="false">
      <c r="B299" s="19"/>
      <c r="C299" s="19"/>
      <c r="D299" s="20"/>
      <c r="E299" s="22" t="str">
        <f aca="false">IF(A299="","",IFERROR(C299/B299,0))</f>
        <v/>
      </c>
      <c r="F299" s="19" t="str">
        <f aca="false">IF(A299="","",MAX(B299-C299,0))</f>
        <v/>
      </c>
      <c r="G299" s="19" t="str">
        <f aca="true">IF(OR(A299="",D299=""),"",IFERROR(F299/(DATEDIF(TODAY(),D299,"m")+1),F299))</f>
        <v/>
      </c>
    </row>
    <row r="300" customFormat="false" ht="15" hidden="false" customHeight="false" outlineLevel="0" collapsed="false">
      <c r="B300" s="19"/>
      <c r="C300" s="19"/>
      <c r="D300" s="20"/>
      <c r="E300" s="22" t="str">
        <f aca="false">IF(A300="","",IFERROR(C300/B300,0))</f>
        <v/>
      </c>
      <c r="F300" s="19" t="str">
        <f aca="false">IF(A300="","",MAX(B300-C300,0))</f>
        <v/>
      </c>
      <c r="G300" s="19" t="str">
        <f aca="true">IF(OR(A300="",D300=""),"",IFERROR(F300/(DATEDIF(TODAY(),D300,"m")+1),F300))</f>
        <v/>
      </c>
    </row>
    <row r="301" customFormat="false" ht="15" hidden="false" customHeight="false" outlineLevel="0" collapsed="false">
      <c r="B301" s="19"/>
      <c r="C301" s="19"/>
      <c r="D301" s="20"/>
      <c r="E301" s="22" t="str">
        <f aca="false">IF(A301="","",IFERROR(C301/B301,0))</f>
        <v/>
      </c>
      <c r="F301" s="19" t="str">
        <f aca="false">IF(A301="","",MAX(B301-C301,0))</f>
        <v/>
      </c>
      <c r="G301" s="19" t="str">
        <f aca="true">IF(OR(A301="",D301=""),"",IFERROR(F301/(DATEDIF(TODAY(),D301,"m")+1),F301))</f>
        <v/>
      </c>
    </row>
    <row r="302" customFormat="false" ht="15" hidden="false" customHeight="false" outlineLevel="0" collapsed="false">
      <c r="B302" s="19"/>
      <c r="C302" s="19"/>
      <c r="D302" s="20"/>
      <c r="E302" s="22" t="str">
        <f aca="false">IF(A302="","",IFERROR(C302/B302,0))</f>
        <v/>
      </c>
      <c r="F302" s="19" t="str">
        <f aca="false">IF(A302="","",MAX(B302-C302,0))</f>
        <v/>
      </c>
      <c r="G302" s="19" t="str">
        <f aca="true">IF(OR(A302="",D302=""),"",IFERROR(F302/(DATEDIF(TODAY(),D302,"m")+1),F302))</f>
        <v/>
      </c>
    </row>
    <row r="303" customFormat="false" ht="15" hidden="false" customHeight="false" outlineLevel="0" collapsed="false">
      <c r="B303" s="19"/>
      <c r="C303" s="19"/>
      <c r="D303" s="20"/>
      <c r="E303" s="22" t="str">
        <f aca="false">IF(A303="","",IFERROR(C303/B303,0))</f>
        <v/>
      </c>
      <c r="F303" s="19" t="str">
        <f aca="false">IF(A303="","",MAX(B303-C303,0))</f>
        <v/>
      </c>
      <c r="G303" s="19" t="str">
        <f aca="true">IF(OR(A303="",D303=""),"",IFERROR(F303/(DATEDIF(TODAY(),D303,"m")+1),F303))</f>
        <v/>
      </c>
    </row>
    <row r="304" customFormat="false" ht="15" hidden="false" customHeight="false" outlineLevel="0" collapsed="false">
      <c r="B304" s="19"/>
      <c r="C304" s="19"/>
      <c r="D304" s="20"/>
      <c r="E304" s="22" t="str">
        <f aca="false">IF(A304="","",IFERROR(C304/B304,0))</f>
        <v/>
      </c>
      <c r="F304" s="19" t="str">
        <f aca="false">IF(A304="","",MAX(B304-C304,0))</f>
        <v/>
      </c>
      <c r="G304" s="19" t="str">
        <f aca="true">IF(OR(A304="",D304=""),"",IFERROR(F304/(DATEDIF(TODAY(),D304,"m")+1),F304))</f>
        <v/>
      </c>
    </row>
    <row r="305" customFormat="false" ht="15" hidden="false" customHeight="false" outlineLevel="0" collapsed="false">
      <c r="B305" s="19"/>
      <c r="C305" s="19"/>
      <c r="D305" s="20"/>
      <c r="E305" s="22" t="str">
        <f aca="false">IF(A305="","",IFERROR(C305/B305,0))</f>
        <v/>
      </c>
      <c r="F305" s="19" t="str">
        <f aca="false">IF(A305="","",MAX(B305-C305,0))</f>
        <v/>
      </c>
      <c r="G305" s="19" t="str">
        <f aca="true">IF(OR(A305="",D305=""),"",IFERROR(F305/(DATEDIF(TODAY(),D305,"m")+1),F305))</f>
        <v/>
      </c>
    </row>
    <row r="306" customFormat="false" ht="15" hidden="false" customHeight="false" outlineLevel="0" collapsed="false">
      <c r="B306" s="19"/>
      <c r="C306" s="19"/>
      <c r="D306" s="20"/>
      <c r="E306" s="22" t="str">
        <f aca="false">IF(A306="","",IFERROR(C306/B306,0))</f>
        <v/>
      </c>
      <c r="F306" s="19" t="str">
        <f aca="false">IF(A306="","",MAX(B306-C306,0))</f>
        <v/>
      </c>
      <c r="G306" s="19" t="str">
        <f aca="true">IF(OR(A306="",D306=""),"",IFERROR(F306/(DATEDIF(TODAY(),D306,"m")+1),F306))</f>
        <v/>
      </c>
    </row>
    <row r="307" customFormat="false" ht="15" hidden="false" customHeight="false" outlineLevel="0" collapsed="false">
      <c r="B307" s="19"/>
      <c r="C307" s="19"/>
      <c r="D307" s="20"/>
      <c r="E307" s="22" t="str">
        <f aca="false">IF(A307="","",IFERROR(C307/B307,0))</f>
        <v/>
      </c>
      <c r="F307" s="19" t="str">
        <f aca="false">IF(A307="","",MAX(B307-C307,0))</f>
        <v/>
      </c>
      <c r="G307" s="19" t="str">
        <f aca="true">IF(OR(A307="",D307=""),"",IFERROR(F307/(DATEDIF(TODAY(),D307,"m")+1),F307))</f>
        <v/>
      </c>
    </row>
    <row r="308" customFormat="false" ht="15" hidden="false" customHeight="false" outlineLevel="0" collapsed="false">
      <c r="B308" s="19"/>
      <c r="C308" s="19"/>
      <c r="D308" s="20"/>
      <c r="E308" s="22" t="str">
        <f aca="false">IF(A308="","",IFERROR(C308/B308,0))</f>
        <v/>
      </c>
      <c r="F308" s="19" t="str">
        <f aca="false">IF(A308="","",MAX(B308-C308,0))</f>
        <v/>
      </c>
      <c r="G308" s="19" t="str">
        <f aca="true">IF(OR(A308="",D308=""),"",IFERROR(F308/(DATEDIF(TODAY(),D308,"m")+1),F308))</f>
        <v/>
      </c>
    </row>
    <row r="309" customFormat="false" ht="15" hidden="false" customHeight="false" outlineLevel="0" collapsed="false">
      <c r="B309" s="19"/>
      <c r="C309" s="19"/>
      <c r="D309" s="20"/>
      <c r="E309" s="22" t="str">
        <f aca="false">IF(A309="","",IFERROR(C309/B309,0))</f>
        <v/>
      </c>
      <c r="F309" s="19" t="str">
        <f aca="false">IF(A309="","",MAX(B309-C309,0))</f>
        <v/>
      </c>
      <c r="G309" s="19" t="str">
        <f aca="true">IF(OR(A309="",D309=""),"",IFERROR(F309/(DATEDIF(TODAY(),D309,"m")+1),F309))</f>
        <v/>
      </c>
    </row>
    <row r="310" customFormat="false" ht="15" hidden="false" customHeight="false" outlineLevel="0" collapsed="false">
      <c r="B310" s="19"/>
      <c r="C310" s="19"/>
      <c r="D310" s="20"/>
      <c r="E310" s="22" t="str">
        <f aca="false">IF(A310="","",IFERROR(C310/B310,0))</f>
        <v/>
      </c>
      <c r="F310" s="19" t="str">
        <f aca="false">IF(A310="","",MAX(B310-C310,0))</f>
        <v/>
      </c>
      <c r="G310" s="19" t="str">
        <f aca="true">IF(OR(A310="",D310=""),"",IFERROR(F310/(DATEDIF(TODAY(),D310,"m")+1),F310))</f>
        <v/>
      </c>
    </row>
    <row r="311" customFormat="false" ht="15" hidden="false" customHeight="false" outlineLevel="0" collapsed="false">
      <c r="B311" s="19"/>
      <c r="C311" s="19"/>
      <c r="D311" s="20"/>
      <c r="E311" s="22" t="str">
        <f aca="false">IF(A311="","",IFERROR(C311/B311,0))</f>
        <v/>
      </c>
      <c r="F311" s="19" t="str">
        <f aca="false">IF(A311="","",MAX(B311-C311,0))</f>
        <v/>
      </c>
      <c r="G311" s="19" t="str">
        <f aca="true">IF(OR(A311="",D311=""),"",IFERROR(F311/(DATEDIF(TODAY(),D311,"m")+1),F311))</f>
        <v/>
      </c>
    </row>
    <row r="312" customFormat="false" ht="15" hidden="false" customHeight="false" outlineLevel="0" collapsed="false">
      <c r="B312" s="19"/>
      <c r="C312" s="19"/>
      <c r="D312" s="20"/>
      <c r="E312" s="22" t="str">
        <f aca="false">IF(A312="","",IFERROR(C312/B312,0))</f>
        <v/>
      </c>
      <c r="F312" s="19" t="str">
        <f aca="false">IF(A312="","",MAX(B312-C312,0))</f>
        <v/>
      </c>
      <c r="G312" s="19" t="str">
        <f aca="true">IF(OR(A312="",D312=""),"",IFERROR(F312/(DATEDIF(TODAY(),D312,"m")+1),F312))</f>
        <v/>
      </c>
    </row>
    <row r="313" customFormat="false" ht="15" hidden="false" customHeight="false" outlineLevel="0" collapsed="false">
      <c r="B313" s="19"/>
      <c r="C313" s="19"/>
      <c r="D313" s="20"/>
      <c r="E313" s="22" t="str">
        <f aca="false">IF(A313="","",IFERROR(C313/B313,0))</f>
        <v/>
      </c>
      <c r="F313" s="19" t="str">
        <f aca="false">IF(A313="","",MAX(B313-C313,0))</f>
        <v/>
      </c>
      <c r="G313" s="19" t="str">
        <f aca="true">IF(OR(A313="",D313=""),"",IFERROR(F313/(DATEDIF(TODAY(),D313,"m")+1),F313))</f>
        <v/>
      </c>
    </row>
    <row r="314" customFormat="false" ht="15" hidden="false" customHeight="false" outlineLevel="0" collapsed="false">
      <c r="B314" s="19"/>
      <c r="C314" s="19"/>
      <c r="D314" s="20"/>
      <c r="E314" s="22" t="str">
        <f aca="false">IF(A314="","",IFERROR(C314/B314,0))</f>
        <v/>
      </c>
      <c r="F314" s="19" t="str">
        <f aca="false">IF(A314="","",MAX(B314-C314,0))</f>
        <v/>
      </c>
      <c r="G314" s="19" t="str">
        <f aca="true">IF(OR(A314="",D314=""),"",IFERROR(F314/(DATEDIF(TODAY(),D314,"m")+1),F314))</f>
        <v/>
      </c>
    </row>
    <row r="315" customFormat="false" ht="15" hidden="false" customHeight="false" outlineLevel="0" collapsed="false">
      <c r="B315" s="19"/>
      <c r="C315" s="19"/>
      <c r="D315" s="20"/>
      <c r="E315" s="22" t="str">
        <f aca="false">IF(A315="","",IFERROR(C315/B315,0))</f>
        <v/>
      </c>
      <c r="F315" s="19" t="str">
        <f aca="false">IF(A315="","",MAX(B315-C315,0))</f>
        <v/>
      </c>
      <c r="G315" s="19" t="str">
        <f aca="true">IF(OR(A315="",D315=""),"",IFERROR(F315/(DATEDIF(TODAY(),D315,"m")+1),F315))</f>
        <v/>
      </c>
    </row>
    <row r="316" customFormat="false" ht="15" hidden="false" customHeight="false" outlineLevel="0" collapsed="false">
      <c r="B316" s="19"/>
      <c r="C316" s="19"/>
      <c r="D316" s="20"/>
      <c r="E316" s="22" t="str">
        <f aca="false">IF(A316="","",IFERROR(C316/B316,0))</f>
        <v/>
      </c>
      <c r="F316" s="19" t="str">
        <f aca="false">IF(A316="","",MAX(B316-C316,0))</f>
        <v/>
      </c>
      <c r="G316" s="19" t="str">
        <f aca="true">IF(OR(A316="",D316=""),"",IFERROR(F316/(DATEDIF(TODAY(),D316,"m")+1),F316))</f>
        <v/>
      </c>
    </row>
    <row r="317" customFormat="false" ht="15" hidden="false" customHeight="false" outlineLevel="0" collapsed="false">
      <c r="B317" s="19"/>
      <c r="C317" s="19"/>
      <c r="D317" s="20"/>
      <c r="E317" s="22" t="str">
        <f aca="false">IF(A317="","",IFERROR(C317/B317,0))</f>
        <v/>
      </c>
      <c r="F317" s="19" t="str">
        <f aca="false">IF(A317="","",MAX(B317-C317,0))</f>
        <v/>
      </c>
      <c r="G317" s="19" t="str">
        <f aca="true">IF(OR(A317="",D317=""),"",IFERROR(F317/(DATEDIF(TODAY(),D317,"m")+1),F317))</f>
        <v/>
      </c>
    </row>
    <row r="318" customFormat="false" ht="15" hidden="false" customHeight="false" outlineLevel="0" collapsed="false">
      <c r="B318" s="19"/>
      <c r="C318" s="19"/>
      <c r="D318" s="20"/>
      <c r="E318" s="22" t="str">
        <f aca="false">IF(A318="","",IFERROR(C318/B318,0))</f>
        <v/>
      </c>
      <c r="F318" s="19" t="str">
        <f aca="false">IF(A318="","",MAX(B318-C318,0))</f>
        <v/>
      </c>
      <c r="G318" s="19" t="str">
        <f aca="true">IF(OR(A318="",D318=""),"",IFERROR(F318/(DATEDIF(TODAY(),D318,"m")+1),F318))</f>
        <v/>
      </c>
    </row>
    <row r="319" customFormat="false" ht="15" hidden="false" customHeight="false" outlineLevel="0" collapsed="false">
      <c r="B319" s="19"/>
      <c r="C319" s="19"/>
      <c r="D319" s="20"/>
      <c r="E319" s="22" t="str">
        <f aca="false">IF(A319="","",IFERROR(C319/B319,0))</f>
        <v/>
      </c>
      <c r="F319" s="19" t="str">
        <f aca="false">IF(A319="","",MAX(B319-C319,0))</f>
        <v/>
      </c>
      <c r="G319" s="19" t="str">
        <f aca="true">IF(OR(A319="",D319=""),"",IFERROR(F319/(DATEDIF(TODAY(),D319,"m")+1),F319))</f>
        <v/>
      </c>
    </row>
    <row r="320" customFormat="false" ht="15" hidden="false" customHeight="false" outlineLevel="0" collapsed="false">
      <c r="B320" s="19"/>
      <c r="C320" s="19"/>
      <c r="D320" s="20"/>
      <c r="E320" s="22" t="str">
        <f aca="false">IF(A320="","",IFERROR(C320/B320,0))</f>
        <v/>
      </c>
      <c r="F320" s="19" t="str">
        <f aca="false">IF(A320="","",MAX(B320-C320,0))</f>
        <v/>
      </c>
      <c r="G320" s="19" t="str">
        <f aca="true">IF(OR(A320="",D320=""),"",IFERROR(F320/(DATEDIF(TODAY(),D320,"m")+1),F320))</f>
        <v/>
      </c>
    </row>
    <row r="321" customFormat="false" ht="15" hidden="false" customHeight="false" outlineLevel="0" collapsed="false">
      <c r="B321" s="19"/>
      <c r="C321" s="19"/>
      <c r="D321" s="20"/>
      <c r="E321" s="22" t="str">
        <f aca="false">IF(A321="","",IFERROR(C321/B321,0))</f>
        <v/>
      </c>
      <c r="F321" s="19" t="str">
        <f aca="false">IF(A321="","",MAX(B321-C321,0))</f>
        <v/>
      </c>
      <c r="G321" s="19" t="str">
        <f aca="true">IF(OR(A321="",D321=""),"",IFERROR(F321/(DATEDIF(TODAY(),D321,"m")+1),F321))</f>
        <v/>
      </c>
    </row>
    <row r="322" customFormat="false" ht="15" hidden="false" customHeight="false" outlineLevel="0" collapsed="false">
      <c r="B322" s="19"/>
      <c r="C322" s="19"/>
      <c r="D322" s="20"/>
      <c r="E322" s="22" t="str">
        <f aca="false">IF(A322="","",IFERROR(C322/B322,0))</f>
        <v/>
      </c>
      <c r="F322" s="19" t="str">
        <f aca="false">IF(A322="","",MAX(B322-C322,0))</f>
        <v/>
      </c>
      <c r="G322" s="19" t="str">
        <f aca="true">IF(OR(A322="",D322=""),"",IFERROR(F322/(DATEDIF(TODAY(),D322,"m")+1),F322))</f>
        <v/>
      </c>
    </row>
    <row r="323" customFormat="false" ht="15" hidden="false" customHeight="false" outlineLevel="0" collapsed="false">
      <c r="B323" s="19"/>
      <c r="C323" s="19"/>
      <c r="D323" s="20"/>
      <c r="E323" s="22" t="str">
        <f aca="false">IF(A323="","",IFERROR(C323/B323,0))</f>
        <v/>
      </c>
      <c r="F323" s="19" t="str">
        <f aca="false">IF(A323="","",MAX(B323-C323,0))</f>
        <v/>
      </c>
      <c r="G323" s="19" t="str">
        <f aca="true">IF(OR(A323="",D323=""),"",IFERROR(F323/(DATEDIF(TODAY(),D323,"m")+1),F323))</f>
        <v/>
      </c>
    </row>
    <row r="324" customFormat="false" ht="15" hidden="false" customHeight="false" outlineLevel="0" collapsed="false">
      <c r="B324" s="19"/>
      <c r="C324" s="19"/>
      <c r="D324" s="20"/>
      <c r="E324" s="22" t="str">
        <f aca="false">IF(A324="","",IFERROR(C324/B324,0))</f>
        <v/>
      </c>
      <c r="F324" s="19" t="str">
        <f aca="false">IF(A324="","",MAX(B324-C324,0))</f>
        <v/>
      </c>
      <c r="G324" s="19" t="str">
        <f aca="true">IF(OR(A324="",D324=""),"",IFERROR(F324/(DATEDIF(TODAY(),D324,"m")+1),F324))</f>
        <v/>
      </c>
    </row>
    <row r="325" customFormat="false" ht="15" hidden="false" customHeight="false" outlineLevel="0" collapsed="false">
      <c r="B325" s="19"/>
      <c r="C325" s="19"/>
      <c r="D325" s="20"/>
      <c r="E325" s="22" t="str">
        <f aca="false">IF(A325="","",IFERROR(C325/B325,0))</f>
        <v/>
      </c>
      <c r="F325" s="19" t="str">
        <f aca="false">IF(A325="","",MAX(B325-C325,0))</f>
        <v/>
      </c>
      <c r="G325" s="19" t="str">
        <f aca="true">IF(OR(A325="",D325=""),"",IFERROR(F325/(DATEDIF(TODAY(),D325,"m")+1),F325))</f>
        <v/>
      </c>
    </row>
    <row r="326" customFormat="false" ht="15" hidden="false" customHeight="false" outlineLevel="0" collapsed="false">
      <c r="B326" s="19"/>
      <c r="C326" s="19"/>
      <c r="D326" s="20"/>
      <c r="E326" s="22" t="str">
        <f aca="false">IF(A326="","",IFERROR(C326/B326,0))</f>
        <v/>
      </c>
      <c r="F326" s="19" t="str">
        <f aca="false">IF(A326="","",MAX(B326-C326,0))</f>
        <v/>
      </c>
      <c r="G326" s="19" t="str">
        <f aca="true">IF(OR(A326="",D326=""),"",IFERROR(F326/(DATEDIF(TODAY(),D326,"m")+1),F326))</f>
        <v/>
      </c>
    </row>
    <row r="327" customFormat="false" ht="15" hidden="false" customHeight="false" outlineLevel="0" collapsed="false">
      <c r="B327" s="19"/>
      <c r="C327" s="19"/>
      <c r="D327" s="20"/>
      <c r="E327" s="22" t="str">
        <f aca="false">IF(A327="","",IFERROR(C327/B327,0))</f>
        <v/>
      </c>
      <c r="F327" s="19" t="str">
        <f aca="false">IF(A327="","",MAX(B327-C327,0))</f>
        <v/>
      </c>
      <c r="G327" s="19" t="str">
        <f aca="true">IF(OR(A327="",D327=""),"",IFERROR(F327/(DATEDIF(TODAY(),D327,"m")+1),F327))</f>
        <v/>
      </c>
    </row>
    <row r="328" customFormat="false" ht="15" hidden="false" customHeight="false" outlineLevel="0" collapsed="false">
      <c r="B328" s="19"/>
      <c r="C328" s="19"/>
      <c r="D328" s="20"/>
      <c r="E328" s="22" t="str">
        <f aca="false">IF(A328="","",IFERROR(C328/B328,0))</f>
        <v/>
      </c>
      <c r="F328" s="19" t="str">
        <f aca="false">IF(A328="","",MAX(B328-C328,0))</f>
        <v/>
      </c>
      <c r="G328" s="19" t="str">
        <f aca="true">IF(OR(A328="",D328=""),"",IFERROR(F328/(DATEDIF(TODAY(),D328,"m")+1),F328))</f>
        <v/>
      </c>
    </row>
    <row r="329" customFormat="false" ht="15" hidden="false" customHeight="false" outlineLevel="0" collapsed="false">
      <c r="B329" s="19"/>
      <c r="C329" s="19"/>
      <c r="D329" s="20"/>
      <c r="E329" s="22" t="str">
        <f aca="false">IF(A329="","",IFERROR(C329/B329,0))</f>
        <v/>
      </c>
      <c r="F329" s="19" t="str">
        <f aca="false">IF(A329="","",MAX(B329-C329,0))</f>
        <v/>
      </c>
      <c r="G329" s="19" t="str">
        <f aca="true">IF(OR(A329="",D329=""),"",IFERROR(F329/(DATEDIF(TODAY(),D329,"m")+1),F329))</f>
        <v/>
      </c>
    </row>
    <row r="330" customFormat="false" ht="15" hidden="false" customHeight="false" outlineLevel="0" collapsed="false">
      <c r="B330" s="19"/>
      <c r="C330" s="19"/>
      <c r="D330" s="20"/>
      <c r="E330" s="22" t="str">
        <f aca="false">IF(A330="","",IFERROR(C330/B330,0))</f>
        <v/>
      </c>
      <c r="F330" s="19" t="str">
        <f aca="false">IF(A330="","",MAX(B330-C330,0))</f>
        <v/>
      </c>
      <c r="G330" s="19" t="str">
        <f aca="true">IF(OR(A330="",D330=""),"",IFERROR(F330/(DATEDIF(TODAY(),D330,"m")+1),F330))</f>
        <v/>
      </c>
    </row>
    <row r="331" customFormat="false" ht="15" hidden="false" customHeight="false" outlineLevel="0" collapsed="false">
      <c r="B331" s="19"/>
      <c r="C331" s="19"/>
      <c r="D331" s="20"/>
      <c r="E331" s="22" t="str">
        <f aca="false">IF(A331="","",IFERROR(C331/B331,0))</f>
        <v/>
      </c>
      <c r="F331" s="19" t="str">
        <f aca="false">IF(A331="","",MAX(B331-C331,0))</f>
        <v/>
      </c>
      <c r="G331" s="19" t="str">
        <f aca="true">IF(OR(A331="",D331=""),"",IFERROR(F331/(DATEDIF(TODAY(),D331,"m")+1),F331))</f>
        <v/>
      </c>
    </row>
    <row r="332" customFormat="false" ht="15" hidden="false" customHeight="false" outlineLevel="0" collapsed="false">
      <c r="B332" s="19"/>
      <c r="C332" s="19"/>
      <c r="D332" s="20"/>
      <c r="E332" s="22" t="str">
        <f aca="false">IF(A332="","",IFERROR(C332/B332,0))</f>
        <v/>
      </c>
      <c r="F332" s="19" t="str">
        <f aca="false">IF(A332="","",MAX(B332-C332,0))</f>
        <v/>
      </c>
      <c r="G332" s="19" t="str">
        <f aca="true">IF(OR(A332="",D332=""),"",IFERROR(F332/(DATEDIF(TODAY(),D332,"m")+1),F332))</f>
        <v/>
      </c>
    </row>
    <row r="333" customFormat="false" ht="15" hidden="false" customHeight="false" outlineLevel="0" collapsed="false">
      <c r="B333" s="19"/>
      <c r="C333" s="19"/>
      <c r="D333" s="20"/>
      <c r="E333" s="22" t="str">
        <f aca="false">IF(A333="","",IFERROR(C333/B333,0))</f>
        <v/>
      </c>
      <c r="F333" s="19" t="str">
        <f aca="false">IF(A333="","",MAX(B333-C333,0))</f>
        <v/>
      </c>
      <c r="G333" s="19" t="str">
        <f aca="true">IF(OR(A333="",D333=""),"",IFERROR(F333/(DATEDIF(TODAY(),D333,"m")+1),F333))</f>
        <v/>
      </c>
    </row>
    <row r="334" customFormat="false" ht="15" hidden="false" customHeight="false" outlineLevel="0" collapsed="false">
      <c r="B334" s="19"/>
      <c r="C334" s="19"/>
      <c r="D334" s="20"/>
      <c r="E334" s="22" t="str">
        <f aca="false">IF(A334="","",IFERROR(C334/B334,0))</f>
        <v/>
      </c>
      <c r="F334" s="19" t="str">
        <f aca="false">IF(A334="","",MAX(B334-C334,0))</f>
        <v/>
      </c>
      <c r="G334" s="19" t="str">
        <f aca="true">IF(OR(A334="",D334=""),"",IFERROR(F334/(DATEDIF(TODAY(),D334,"m")+1),F334))</f>
        <v/>
      </c>
    </row>
    <row r="335" customFormat="false" ht="15" hidden="false" customHeight="false" outlineLevel="0" collapsed="false">
      <c r="B335" s="19"/>
      <c r="C335" s="19"/>
      <c r="D335" s="20"/>
      <c r="E335" s="22" t="str">
        <f aca="false">IF(A335="","",IFERROR(C335/B335,0))</f>
        <v/>
      </c>
      <c r="F335" s="19" t="str">
        <f aca="false">IF(A335="","",MAX(B335-C335,0))</f>
        <v/>
      </c>
      <c r="G335" s="19" t="str">
        <f aca="true">IF(OR(A335="",D335=""),"",IFERROR(F335/(DATEDIF(TODAY(),D335,"m")+1),F335))</f>
        <v/>
      </c>
    </row>
    <row r="336" customFormat="false" ht="15" hidden="false" customHeight="false" outlineLevel="0" collapsed="false">
      <c r="B336" s="19"/>
      <c r="C336" s="19"/>
      <c r="D336" s="20"/>
      <c r="E336" s="22" t="str">
        <f aca="false">IF(A336="","",IFERROR(C336/B336,0))</f>
        <v/>
      </c>
      <c r="F336" s="19" t="str">
        <f aca="false">IF(A336="","",MAX(B336-C336,0))</f>
        <v/>
      </c>
      <c r="G336" s="19" t="str">
        <f aca="true">IF(OR(A336="",D336=""),"",IFERROR(F336/(DATEDIF(TODAY(),D336,"m")+1),F336))</f>
        <v/>
      </c>
    </row>
    <row r="337" customFormat="false" ht="15" hidden="false" customHeight="false" outlineLevel="0" collapsed="false">
      <c r="B337" s="19"/>
      <c r="C337" s="19"/>
      <c r="D337" s="20"/>
      <c r="E337" s="22" t="str">
        <f aca="false">IF(A337="","",IFERROR(C337/B337,0))</f>
        <v/>
      </c>
      <c r="F337" s="19" t="str">
        <f aca="false">IF(A337="","",MAX(B337-C337,0))</f>
        <v/>
      </c>
      <c r="G337" s="19" t="str">
        <f aca="true">IF(OR(A337="",D337=""),"",IFERROR(F337/(DATEDIF(TODAY(),D337,"m")+1),F337))</f>
        <v/>
      </c>
    </row>
    <row r="338" customFormat="false" ht="15" hidden="false" customHeight="false" outlineLevel="0" collapsed="false">
      <c r="B338" s="19"/>
      <c r="C338" s="19"/>
      <c r="D338" s="20"/>
      <c r="E338" s="22" t="str">
        <f aca="false">IF(A338="","",IFERROR(C338/B338,0))</f>
        <v/>
      </c>
      <c r="F338" s="19" t="str">
        <f aca="false">IF(A338="","",MAX(B338-C338,0))</f>
        <v/>
      </c>
      <c r="G338" s="19" t="str">
        <f aca="true">IF(OR(A338="",D338=""),"",IFERROR(F338/(DATEDIF(TODAY(),D338,"m")+1),F338))</f>
        <v/>
      </c>
    </row>
    <row r="339" customFormat="false" ht="15" hidden="false" customHeight="false" outlineLevel="0" collapsed="false">
      <c r="B339" s="19"/>
      <c r="C339" s="19"/>
      <c r="D339" s="20"/>
      <c r="E339" s="22" t="str">
        <f aca="false">IF(A339="","",IFERROR(C339/B339,0))</f>
        <v/>
      </c>
      <c r="F339" s="19" t="str">
        <f aca="false">IF(A339="","",MAX(B339-C339,0))</f>
        <v/>
      </c>
      <c r="G339" s="19" t="str">
        <f aca="true">IF(OR(A339="",D339=""),"",IFERROR(F339/(DATEDIF(TODAY(),D339,"m")+1),F339))</f>
        <v/>
      </c>
    </row>
    <row r="340" customFormat="false" ht="15" hidden="false" customHeight="false" outlineLevel="0" collapsed="false">
      <c r="B340" s="19"/>
      <c r="C340" s="19"/>
      <c r="D340" s="20"/>
      <c r="E340" s="22" t="str">
        <f aca="false">IF(A340="","",IFERROR(C340/B340,0))</f>
        <v/>
      </c>
      <c r="F340" s="19" t="str">
        <f aca="false">IF(A340="","",MAX(B340-C340,0))</f>
        <v/>
      </c>
      <c r="G340" s="19" t="str">
        <f aca="true">IF(OR(A340="",D340=""),"",IFERROR(F340/(DATEDIF(TODAY(),D340,"m")+1),F340))</f>
        <v/>
      </c>
    </row>
    <row r="341" customFormat="false" ht="15" hidden="false" customHeight="false" outlineLevel="0" collapsed="false">
      <c r="B341" s="19"/>
      <c r="C341" s="19"/>
      <c r="D341" s="20"/>
      <c r="E341" s="22" t="str">
        <f aca="false">IF(A341="","",IFERROR(C341/B341,0))</f>
        <v/>
      </c>
      <c r="F341" s="19" t="str">
        <f aca="false">IF(A341="","",MAX(B341-C341,0))</f>
        <v/>
      </c>
      <c r="G341" s="19" t="str">
        <f aca="true">IF(OR(A341="",D341=""),"",IFERROR(F341/(DATEDIF(TODAY(),D341,"m")+1),F341))</f>
        <v/>
      </c>
    </row>
    <row r="342" customFormat="false" ht="15" hidden="false" customHeight="false" outlineLevel="0" collapsed="false">
      <c r="B342" s="19"/>
      <c r="C342" s="19"/>
      <c r="D342" s="20"/>
      <c r="E342" s="22" t="str">
        <f aca="false">IF(A342="","",IFERROR(C342/B342,0))</f>
        <v/>
      </c>
      <c r="F342" s="19" t="str">
        <f aca="false">IF(A342="","",MAX(B342-C342,0))</f>
        <v/>
      </c>
      <c r="G342" s="19" t="str">
        <f aca="true">IF(OR(A342="",D342=""),"",IFERROR(F342/(DATEDIF(TODAY(),D342,"m")+1),F342))</f>
        <v/>
      </c>
    </row>
    <row r="343" customFormat="false" ht="15" hidden="false" customHeight="false" outlineLevel="0" collapsed="false">
      <c r="B343" s="19"/>
      <c r="C343" s="19"/>
      <c r="D343" s="20"/>
      <c r="E343" s="22" t="str">
        <f aca="false">IF(A343="","",IFERROR(C343/B343,0))</f>
        <v/>
      </c>
      <c r="F343" s="19" t="str">
        <f aca="false">IF(A343="","",MAX(B343-C343,0))</f>
        <v/>
      </c>
      <c r="G343" s="19" t="str">
        <f aca="true">IF(OR(A343="",D343=""),"",IFERROR(F343/(DATEDIF(TODAY(),D343,"m")+1),F343))</f>
        <v/>
      </c>
    </row>
    <row r="344" customFormat="false" ht="15" hidden="false" customHeight="false" outlineLevel="0" collapsed="false">
      <c r="B344" s="19"/>
      <c r="C344" s="19"/>
      <c r="D344" s="20"/>
      <c r="E344" s="22" t="str">
        <f aca="false">IF(A344="","",IFERROR(C344/B344,0))</f>
        <v/>
      </c>
      <c r="F344" s="19" t="str">
        <f aca="false">IF(A344="","",MAX(B344-C344,0))</f>
        <v/>
      </c>
      <c r="G344" s="19" t="str">
        <f aca="true">IF(OR(A344="",D344=""),"",IFERROR(F344/(DATEDIF(TODAY(),D344,"m")+1),F344))</f>
        <v/>
      </c>
    </row>
    <row r="345" customFormat="false" ht="15" hidden="false" customHeight="false" outlineLevel="0" collapsed="false">
      <c r="B345" s="19"/>
      <c r="C345" s="19"/>
      <c r="D345" s="20"/>
      <c r="E345" s="22" t="str">
        <f aca="false">IF(A345="","",IFERROR(C345/B345,0))</f>
        <v/>
      </c>
      <c r="F345" s="19" t="str">
        <f aca="false">IF(A345="","",MAX(B345-C345,0))</f>
        <v/>
      </c>
      <c r="G345" s="19" t="str">
        <f aca="true">IF(OR(A345="",D345=""),"",IFERROR(F345/(DATEDIF(TODAY(),D345,"m")+1),F345))</f>
        <v/>
      </c>
    </row>
    <row r="346" customFormat="false" ht="15" hidden="false" customHeight="false" outlineLevel="0" collapsed="false">
      <c r="B346" s="19"/>
      <c r="C346" s="19"/>
      <c r="D346" s="20"/>
      <c r="E346" s="22" t="str">
        <f aca="false">IF(A346="","",IFERROR(C346/B346,0))</f>
        <v/>
      </c>
      <c r="F346" s="19" t="str">
        <f aca="false">IF(A346="","",MAX(B346-C346,0))</f>
        <v/>
      </c>
      <c r="G346" s="19" t="str">
        <f aca="true">IF(OR(A346="",D346=""),"",IFERROR(F346/(DATEDIF(TODAY(),D346,"m")+1),F346))</f>
        <v/>
      </c>
    </row>
    <row r="347" customFormat="false" ht="15" hidden="false" customHeight="false" outlineLevel="0" collapsed="false">
      <c r="B347" s="19"/>
      <c r="C347" s="19"/>
      <c r="D347" s="20"/>
      <c r="E347" s="22" t="str">
        <f aca="false">IF(A347="","",IFERROR(C347/B347,0))</f>
        <v/>
      </c>
      <c r="F347" s="19" t="str">
        <f aca="false">IF(A347="","",MAX(B347-C347,0))</f>
        <v/>
      </c>
      <c r="G347" s="19" t="str">
        <f aca="true">IF(OR(A347="",D347=""),"",IFERROR(F347/(DATEDIF(TODAY(),D347,"m")+1),F347))</f>
        <v/>
      </c>
    </row>
    <row r="348" customFormat="false" ht="15" hidden="false" customHeight="false" outlineLevel="0" collapsed="false">
      <c r="B348" s="19"/>
      <c r="C348" s="19"/>
      <c r="D348" s="20"/>
      <c r="E348" s="22" t="str">
        <f aca="false">IF(A348="","",IFERROR(C348/B348,0))</f>
        <v/>
      </c>
      <c r="F348" s="19" t="str">
        <f aca="false">IF(A348="","",MAX(B348-C348,0))</f>
        <v/>
      </c>
      <c r="G348" s="19" t="str">
        <f aca="true">IF(OR(A348="",D348=""),"",IFERROR(F348/(DATEDIF(TODAY(),D348,"m")+1),F348))</f>
        <v/>
      </c>
    </row>
    <row r="349" customFormat="false" ht="15" hidden="false" customHeight="false" outlineLevel="0" collapsed="false">
      <c r="B349" s="19"/>
      <c r="C349" s="19"/>
      <c r="D349" s="20"/>
      <c r="E349" s="22" t="str">
        <f aca="false">IF(A349="","",IFERROR(C349/B349,0))</f>
        <v/>
      </c>
      <c r="F349" s="19" t="str">
        <f aca="false">IF(A349="","",MAX(B349-C349,0))</f>
        <v/>
      </c>
      <c r="G349" s="19" t="str">
        <f aca="true">IF(OR(A349="",D349=""),"",IFERROR(F349/(DATEDIF(TODAY(),D349,"m")+1),F349))</f>
        <v/>
      </c>
    </row>
    <row r="350" customFormat="false" ht="15" hidden="false" customHeight="false" outlineLevel="0" collapsed="false">
      <c r="B350" s="19"/>
      <c r="C350" s="19"/>
      <c r="D350" s="20"/>
      <c r="E350" s="22" t="str">
        <f aca="false">IF(A350="","",IFERROR(C350/B350,0))</f>
        <v/>
      </c>
      <c r="F350" s="19" t="str">
        <f aca="false">IF(A350="","",MAX(B350-C350,0))</f>
        <v/>
      </c>
      <c r="G350" s="19" t="str">
        <f aca="true">IF(OR(A350="",D350=""),"",IFERROR(F350/(DATEDIF(TODAY(),D350,"m")+1),F350))</f>
        <v/>
      </c>
    </row>
    <row r="351" customFormat="false" ht="15" hidden="false" customHeight="false" outlineLevel="0" collapsed="false">
      <c r="B351" s="19"/>
      <c r="C351" s="19"/>
      <c r="D351" s="20"/>
      <c r="E351" s="22" t="str">
        <f aca="false">IF(A351="","",IFERROR(C351/B351,0))</f>
        <v/>
      </c>
      <c r="F351" s="19" t="str">
        <f aca="false">IF(A351="","",MAX(B351-C351,0))</f>
        <v/>
      </c>
      <c r="G351" s="19" t="str">
        <f aca="true">IF(OR(A351="",D351=""),"",IFERROR(F351/(DATEDIF(TODAY(),D351,"m")+1),F351))</f>
        <v/>
      </c>
    </row>
    <row r="352" customFormat="false" ht="15" hidden="false" customHeight="false" outlineLevel="0" collapsed="false">
      <c r="B352" s="19"/>
      <c r="C352" s="19"/>
      <c r="D352" s="20"/>
      <c r="E352" s="22" t="str">
        <f aca="false">IF(A352="","",IFERROR(C352/B352,0))</f>
        <v/>
      </c>
      <c r="F352" s="19" t="str">
        <f aca="false">IF(A352="","",MAX(B352-C352,0))</f>
        <v/>
      </c>
      <c r="G352" s="19" t="str">
        <f aca="true">IF(OR(A352="",D352=""),"",IFERROR(F352/(DATEDIF(TODAY(),D352,"m")+1),F352))</f>
        <v/>
      </c>
    </row>
    <row r="353" customFormat="false" ht="15" hidden="false" customHeight="false" outlineLevel="0" collapsed="false">
      <c r="B353" s="19"/>
      <c r="C353" s="19"/>
      <c r="D353" s="20"/>
      <c r="E353" s="22" t="str">
        <f aca="false">IF(A353="","",IFERROR(C353/B353,0))</f>
        <v/>
      </c>
      <c r="F353" s="19" t="str">
        <f aca="false">IF(A353="","",MAX(B353-C353,0))</f>
        <v/>
      </c>
      <c r="G353" s="19" t="str">
        <f aca="true">IF(OR(A353="",D353=""),"",IFERROR(F353/(DATEDIF(TODAY(),D353,"m")+1),F353))</f>
        <v/>
      </c>
    </row>
    <row r="354" customFormat="false" ht="15" hidden="false" customHeight="false" outlineLevel="0" collapsed="false">
      <c r="B354" s="19"/>
      <c r="C354" s="19"/>
      <c r="D354" s="20"/>
      <c r="E354" s="22" t="str">
        <f aca="false">IF(A354="","",IFERROR(C354/B354,0))</f>
        <v/>
      </c>
      <c r="F354" s="19" t="str">
        <f aca="false">IF(A354="","",MAX(B354-C354,0))</f>
        <v/>
      </c>
      <c r="G354" s="19" t="str">
        <f aca="true">IF(OR(A354="",D354=""),"",IFERROR(F354/(DATEDIF(TODAY(),D354,"m")+1),F354))</f>
        <v/>
      </c>
    </row>
    <row r="355" customFormat="false" ht="15" hidden="false" customHeight="false" outlineLevel="0" collapsed="false">
      <c r="B355" s="19"/>
      <c r="C355" s="19"/>
      <c r="D355" s="20"/>
      <c r="E355" s="22" t="str">
        <f aca="false">IF(A355="","",IFERROR(C355/B355,0))</f>
        <v/>
      </c>
      <c r="F355" s="19" t="str">
        <f aca="false">IF(A355="","",MAX(B355-C355,0))</f>
        <v/>
      </c>
      <c r="G355" s="19" t="str">
        <f aca="true">IF(OR(A355="",D355=""),"",IFERROR(F355/(DATEDIF(TODAY(),D355,"m")+1),F355))</f>
        <v/>
      </c>
    </row>
    <row r="356" customFormat="false" ht="15" hidden="false" customHeight="false" outlineLevel="0" collapsed="false">
      <c r="B356" s="19"/>
      <c r="C356" s="19"/>
      <c r="D356" s="20"/>
      <c r="E356" s="22" t="str">
        <f aca="false">IF(A356="","",IFERROR(C356/B356,0))</f>
        <v/>
      </c>
      <c r="F356" s="19" t="str">
        <f aca="false">IF(A356="","",MAX(B356-C356,0))</f>
        <v/>
      </c>
      <c r="G356" s="19" t="str">
        <f aca="true">IF(OR(A356="",D356=""),"",IFERROR(F356/(DATEDIF(TODAY(),D356,"m")+1),F356))</f>
        <v/>
      </c>
    </row>
    <row r="357" customFormat="false" ht="15" hidden="false" customHeight="false" outlineLevel="0" collapsed="false">
      <c r="B357" s="19"/>
      <c r="C357" s="19"/>
      <c r="D357" s="20"/>
      <c r="E357" s="22" t="str">
        <f aca="false">IF(A357="","",IFERROR(C357/B357,0))</f>
        <v/>
      </c>
      <c r="F357" s="19" t="str">
        <f aca="false">IF(A357="","",MAX(B357-C357,0))</f>
        <v/>
      </c>
      <c r="G357" s="19" t="str">
        <f aca="true">IF(OR(A357="",D357=""),"",IFERROR(F357/(DATEDIF(TODAY(),D357,"m")+1),F357))</f>
        <v/>
      </c>
    </row>
    <row r="358" customFormat="false" ht="15" hidden="false" customHeight="false" outlineLevel="0" collapsed="false">
      <c r="B358" s="19"/>
      <c r="C358" s="19"/>
      <c r="D358" s="20"/>
      <c r="E358" s="22" t="str">
        <f aca="false">IF(A358="","",IFERROR(C358/B358,0))</f>
        <v/>
      </c>
      <c r="F358" s="19" t="str">
        <f aca="false">IF(A358="","",MAX(B358-C358,0))</f>
        <v/>
      </c>
      <c r="G358" s="19" t="str">
        <f aca="true">IF(OR(A358="",D358=""),"",IFERROR(F358/(DATEDIF(TODAY(),D358,"m")+1),F358))</f>
        <v/>
      </c>
    </row>
    <row r="359" customFormat="false" ht="15" hidden="false" customHeight="false" outlineLevel="0" collapsed="false">
      <c r="B359" s="19"/>
      <c r="C359" s="19"/>
      <c r="D359" s="20"/>
      <c r="E359" s="22" t="str">
        <f aca="false">IF(A359="","",IFERROR(C359/B359,0))</f>
        <v/>
      </c>
      <c r="F359" s="19" t="str">
        <f aca="false">IF(A359="","",MAX(B359-C359,0))</f>
        <v/>
      </c>
      <c r="G359" s="19" t="str">
        <f aca="true">IF(OR(A359="",D359=""),"",IFERROR(F359/(DATEDIF(TODAY(),D359,"m")+1),F359))</f>
        <v/>
      </c>
    </row>
    <row r="360" customFormat="false" ht="15" hidden="false" customHeight="false" outlineLevel="0" collapsed="false">
      <c r="B360" s="19"/>
      <c r="C360" s="19"/>
      <c r="D360" s="20"/>
      <c r="E360" s="22" t="str">
        <f aca="false">IF(A360="","",IFERROR(C360/B360,0))</f>
        <v/>
      </c>
      <c r="F360" s="19" t="str">
        <f aca="false">IF(A360="","",MAX(B360-C360,0))</f>
        <v/>
      </c>
      <c r="G360" s="19" t="str">
        <f aca="true">IF(OR(A360="",D360=""),"",IFERROR(F360/(DATEDIF(TODAY(),D360,"m")+1),F360))</f>
        <v/>
      </c>
    </row>
    <row r="361" customFormat="false" ht="15" hidden="false" customHeight="false" outlineLevel="0" collapsed="false">
      <c r="B361" s="19"/>
      <c r="C361" s="19"/>
      <c r="D361" s="20"/>
      <c r="E361" s="22" t="str">
        <f aca="false">IF(A361="","",IFERROR(C361/B361,0))</f>
        <v/>
      </c>
      <c r="F361" s="19" t="str">
        <f aca="false">IF(A361="","",MAX(B361-C361,0))</f>
        <v/>
      </c>
      <c r="G361" s="19" t="str">
        <f aca="true">IF(OR(A361="",D361=""),"",IFERROR(F361/(DATEDIF(TODAY(),D361,"m")+1),F361))</f>
        <v/>
      </c>
    </row>
    <row r="362" customFormat="false" ht="15" hidden="false" customHeight="false" outlineLevel="0" collapsed="false">
      <c r="B362" s="19"/>
      <c r="C362" s="19"/>
      <c r="D362" s="20"/>
      <c r="E362" s="22" t="str">
        <f aca="false">IF(A362="","",IFERROR(C362/B362,0))</f>
        <v/>
      </c>
      <c r="F362" s="19" t="str">
        <f aca="false">IF(A362="","",MAX(B362-C362,0))</f>
        <v/>
      </c>
      <c r="G362" s="19" t="str">
        <f aca="true">IF(OR(A362="",D362=""),"",IFERROR(F362/(DATEDIF(TODAY(),D362,"m")+1),F362))</f>
        <v/>
      </c>
    </row>
    <row r="363" customFormat="false" ht="15" hidden="false" customHeight="false" outlineLevel="0" collapsed="false">
      <c r="B363" s="19"/>
      <c r="C363" s="19"/>
      <c r="D363" s="20"/>
      <c r="E363" s="22" t="str">
        <f aca="false">IF(A363="","",IFERROR(C363/B363,0))</f>
        <v/>
      </c>
      <c r="F363" s="19" t="str">
        <f aca="false">IF(A363="","",MAX(B363-C363,0))</f>
        <v/>
      </c>
      <c r="G363" s="19" t="str">
        <f aca="true">IF(OR(A363="",D363=""),"",IFERROR(F363/(DATEDIF(TODAY(),D363,"m")+1),F363))</f>
        <v/>
      </c>
    </row>
    <row r="364" customFormat="false" ht="15" hidden="false" customHeight="false" outlineLevel="0" collapsed="false">
      <c r="B364" s="19"/>
      <c r="C364" s="19"/>
      <c r="D364" s="20"/>
      <c r="E364" s="22" t="str">
        <f aca="false">IF(A364="","",IFERROR(C364/B364,0))</f>
        <v/>
      </c>
      <c r="F364" s="19" t="str">
        <f aca="false">IF(A364="","",MAX(B364-C364,0))</f>
        <v/>
      </c>
      <c r="G364" s="19" t="str">
        <f aca="true">IF(OR(A364="",D364=""),"",IFERROR(F364/(DATEDIF(TODAY(),D364,"m")+1),F364))</f>
        <v/>
      </c>
    </row>
    <row r="365" customFormat="false" ht="15" hidden="false" customHeight="false" outlineLevel="0" collapsed="false">
      <c r="B365" s="19"/>
      <c r="C365" s="19"/>
      <c r="D365" s="20"/>
      <c r="E365" s="22" t="str">
        <f aca="false">IF(A365="","",IFERROR(C365/B365,0))</f>
        <v/>
      </c>
      <c r="F365" s="19" t="str">
        <f aca="false">IF(A365="","",MAX(B365-C365,0))</f>
        <v/>
      </c>
      <c r="G365" s="19" t="str">
        <f aca="true">IF(OR(A365="",D365=""),"",IFERROR(F365/(DATEDIF(TODAY(),D365,"m")+1),F365))</f>
        <v/>
      </c>
    </row>
    <row r="366" customFormat="false" ht="15" hidden="false" customHeight="false" outlineLevel="0" collapsed="false">
      <c r="B366" s="19"/>
      <c r="C366" s="19"/>
      <c r="D366" s="20"/>
      <c r="E366" s="22" t="str">
        <f aca="false">IF(A366="","",IFERROR(C366/B366,0))</f>
        <v/>
      </c>
      <c r="F366" s="19" t="str">
        <f aca="false">IF(A366="","",MAX(B366-C366,0))</f>
        <v/>
      </c>
      <c r="G366" s="19" t="str">
        <f aca="true">IF(OR(A366="",D366=""),"",IFERROR(F366/(DATEDIF(TODAY(),D366,"m")+1),F366))</f>
        <v/>
      </c>
    </row>
    <row r="367" customFormat="false" ht="15" hidden="false" customHeight="false" outlineLevel="0" collapsed="false">
      <c r="B367" s="19"/>
      <c r="C367" s="19"/>
      <c r="D367" s="20"/>
      <c r="E367" s="22" t="str">
        <f aca="false">IF(A367="","",IFERROR(C367/B367,0))</f>
        <v/>
      </c>
      <c r="F367" s="19" t="str">
        <f aca="false">IF(A367="","",MAX(B367-C367,0))</f>
        <v/>
      </c>
      <c r="G367" s="19" t="str">
        <f aca="true">IF(OR(A367="",D367=""),"",IFERROR(F367/(DATEDIF(TODAY(),D367,"m")+1),F367))</f>
        <v/>
      </c>
    </row>
    <row r="368" customFormat="false" ht="15" hidden="false" customHeight="false" outlineLevel="0" collapsed="false">
      <c r="B368" s="19"/>
      <c r="C368" s="19"/>
      <c r="D368" s="20"/>
      <c r="E368" s="22" t="str">
        <f aca="false">IF(A368="","",IFERROR(C368/B368,0))</f>
        <v/>
      </c>
      <c r="F368" s="19" t="str">
        <f aca="false">IF(A368="","",MAX(B368-C368,0))</f>
        <v/>
      </c>
      <c r="G368" s="19" t="str">
        <f aca="true">IF(OR(A368="",D368=""),"",IFERROR(F368/(DATEDIF(TODAY(),D368,"m")+1),F368))</f>
        <v/>
      </c>
    </row>
    <row r="369" customFormat="false" ht="15" hidden="false" customHeight="false" outlineLevel="0" collapsed="false">
      <c r="B369" s="19"/>
      <c r="C369" s="19"/>
      <c r="D369" s="20"/>
      <c r="E369" s="22" t="str">
        <f aca="false">IF(A369="","",IFERROR(C369/B369,0))</f>
        <v/>
      </c>
      <c r="F369" s="19" t="str">
        <f aca="false">IF(A369="","",MAX(B369-C369,0))</f>
        <v/>
      </c>
      <c r="G369" s="19" t="str">
        <f aca="true">IF(OR(A369="",D369=""),"",IFERROR(F369/(DATEDIF(TODAY(),D369,"m")+1),F369))</f>
        <v/>
      </c>
    </row>
    <row r="370" customFormat="false" ht="15" hidden="false" customHeight="false" outlineLevel="0" collapsed="false">
      <c r="B370" s="19"/>
      <c r="C370" s="19"/>
      <c r="D370" s="20"/>
      <c r="E370" s="22" t="str">
        <f aca="false">IF(A370="","",IFERROR(C370/B370,0))</f>
        <v/>
      </c>
      <c r="F370" s="19" t="str">
        <f aca="false">IF(A370="","",MAX(B370-C370,0))</f>
        <v/>
      </c>
      <c r="G370" s="19" t="str">
        <f aca="true">IF(OR(A370="",D370=""),"",IFERROR(F370/(DATEDIF(TODAY(),D370,"m")+1),F370))</f>
        <v/>
      </c>
    </row>
    <row r="371" customFormat="false" ht="15" hidden="false" customHeight="false" outlineLevel="0" collapsed="false">
      <c r="B371" s="19"/>
      <c r="C371" s="19"/>
      <c r="D371" s="20"/>
      <c r="E371" s="22" t="str">
        <f aca="false">IF(A371="","",IFERROR(C371/B371,0))</f>
        <v/>
      </c>
      <c r="F371" s="19" t="str">
        <f aca="false">IF(A371="","",MAX(B371-C371,0))</f>
        <v/>
      </c>
      <c r="G371" s="19" t="str">
        <f aca="true">IF(OR(A371="",D371=""),"",IFERROR(F371/(DATEDIF(TODAY(),D371,"m")+1),F371))</f>
        <v/>
      </c>
    </row>
    <row r="372" customFormat="false" ht="15" hidden="false" customHeight="false" outlineLevel="0" collapsed="false">
      <c r="B372" s="19"/>
      <c r="C372" s="19"/>
      <c r="D372" s="20"/>
      <c r="E372" s="22" t="str">
        <f aca="false">IF(A372="","",IFERROR(C372/B372,0))</f>
        <v/>
      </c>
      <c r="F372" s="19" t="str">
        <f aca="false">IF(A372="","",MAX(B372-C372,0))</f>
        <v/>
      </c>
      <c r="G372" s="19" t="str">
        <f aca="true">IF(OR(A372="",D372=""),"",IFERROR(F372/(DATEDIF(TODAY(),D372,"m")+1),F372))</f>
        <v/>
      </c>
    </row>
    <row r="373" customFormat="false" ht="15" hidden="false" customHeight="false" outlineLevel="0" collapsed="false">
      <c r="B373" s="19"/>
      <c r="C373" s="19"/>
      <c r="D373" s="20"/>
      <c r="E373" s="22" t="str">
        <f aca="false">IF(A373="","",IFERROR(C373/B373,0))</f>
        <v/>
      </c>
      <c r="F373" s="19" t="str">
        <f aca="false">IF(A373="","",MAX(B373-C373,0))</f>
        <v/>
      </c>
      <c r="G373" s="19" t="str">
        <f aca="true">IF(OR(A373="",D373=""),"",IFERROR(F373/(DATEDIF(TODAY(),D373,"m")+1),F373))</f>
        <v/>
      </c>
    </row>
    <row r="374" customFormat="false" ht="15" hidden="false" customHeight="false" outlineLevel="0" collapsed="false">
      <c r="B374" s="19"/>
      <c r="C374" s="19"/>
      <c r="D374" s="20"/>
      <c r="E374" s="22" t="str">
        <f aca="false">IF(A374="","",IFERROR(C374/B374,0))</f>
        <v/>
      </c>
      <c r="F374" s="19" t="str">
        <f aca="false">IF(A374="","",MAX(B374-C374,0))</f>
        <v/>
      </c>
      <c r="G374" s="19" t="str">
        <f aca="true">IF(OR(A374="",D374=""),"",IFERROR(F374/(DATEDIF(TODAY(),D374,"m")+1),F374))</f>
        <v/>
      </c>
    </row>
    <row r="375" customFormat="false" ht="15" hidden="false" customHeight="false" outlineLevel="0" collapsed="false">
      <c r="B375" s="19"/>
      <c r="C375" s="19"/>
      <c r="D375" s="20"/>
      <c r="E375" s="22" t="str">
        <f aca="false">IF(A375="","",IFERROR(C375/B375,0))</f>
        <v/>
      </c>
      <c r="F375" s="19" t="str">
        <f aca="false">IF(A375="","",MAX(B375-C375,0))</f>
        <v/>
      </c>
      <c r="G375" s="19" t="str">
        <f aca="true">IF(OR(A375="",D375=""),"",IFERROR(F375/(DATEDIF(TODAY(),D375,"m")+1),F375))</f>
        <v/>
      </c>
    </row>
    <row r="376" customFormat="false" ht="15" hidden="false" customHeight="false" outlineLevel="0" collapsed="false">
      <c r="B376" s="19"/>
      <c r="C376" s="19"/>
      <c r="D376" s="20"/>
      <c r="E376" s="22" t="str">
        <f aca="false">IF(A376="","",IFERROR(C376/B376,0))</f>
        <v/>
      </c>
      <c r="F376" s="19" t="str">
        <f aca="false">IF(A376="","",MAX(B376-C376,0))</f>
        <v/>
      </c>
      <c r="G376" s="19" t="str">
        <f aca="true">IF(OR(A376="",D376=""),"",IFERROR(F376/(DATEDIF(TODAY(),D376,"m")+1),F376))</f>
        <v/>
      </c>
    </row>
    <row r="377" customFormat="false" ht="15" hidden="false" customHeight="false" outlineLevel="0" collapsed="false">
      <c r="B377" s="19"/>
      <c r="C377" s="19"/>
      <c r="D377" s="20"/>
      <c r="E377" s="22" t="str">
        <f aca="false">IF(A377="","",IFERROR(C377/B377,0))</f>
        <v/>
      </c>
      <c r="F377" s="19" t="str">
        <f aca="false">IF(A377="","",MAX(B377-C377,0))</f>
        <v/>
      </c>
      <c r="G377" s="19" t="str">
        <f aca="true">IF(OR(A377="",D377=""),"",IFERROR(F377/(DATEDIF(TODAY(),D377,"m")+1),F377))</f>
        <v/>
      </c>
    </row>
    <row r="378" customFormat="false" ht="15" hidden="false" customHeight="false" outlineLevel="0" collapsed="false">
      <c r="B378" s="19"/>
      <c r="C378" s="19"/>
      <c r="D378" s="20"/>
      <c r="E378" s="22" t="str">
        <f aca="false">IF(A378="","",IFERROR(C378/B378,0))</f>
        <v/>
      </c>
      <c r="F378" s="19" t="str">
        <f aca="false">IF(A378="","",MAX(B378-C378,0))</f>
        <v/>
      </c>
      <c r="G378" s="19" t="str">
        <f aca="true">IF(OR(A378="",D378=""),"",IFERROR(F378/(DATEDIF(TODAY(),D378,"m")+1),F378))</f>
        <v/>
      </c>
    </row>
    <row r="379" customFormat="false" ht="15" hidden="false" customHeight="false" outlineLevel="0" collapsed="false">
      <c r="B379" s="19"/>
      <c r="C379" s="19"/>
      <c r="D379" s="20"/>
      <c r="E379" s="22" t="str">
        <f aca="false">IF(A379="","",IFERROR(C379/B379,0))</f>
        <v/>
      </c>
      <c r="F379" s="19" t="str">
        <f aca="false">IF(A379="","",MAX(B379-C379,0))</f>
        <v/>
      </c>
      <c r="G379" s="19" t="str">
        <f aca="true">IF(OR(A379="",D379=""),"",IFERROR(F379/(DATEDIF(TODAY(),D379,"m")+1),F379))</f>
        <v/>
      </c>
    </row>
    <row r="380" customFormat="false" ht="15" hidden="false" customHeight="false" outlineLevel="0" collapsed="false">
      <c r="B380" s="19"/>
      <c r="C380" s="19"/>
      <c r="D380" s="20"/>
      <c r="E380" s="22" t="str">
        <f aca="false">IF(A380="","",IFERROR(C380/B380,0))</f>
        <v/>
      </c>
      <c r="F380" s="19" t="str">
        <f aca="false">IF(A380="","",MAX(B380-C380,0))</f>
        <v/>
      </c>
      <c r="G380" s="19" t="str">
        <f aca="true">IF(OR(A380="",D380=""),"",IFERROR(F380/(DATEDIF(TODAY(),D380,"m")+1),F380))</f>
        <v/>
      </c>
    </row>
    <row r="381" customFormat="false" ht="15" hidden="false" customHeight="false" outlineLevel="0" collapsed="false">
      <c r="B381" s="19"/>
      <c r="C381" s="19"/>
      <c r="D381" s="20"/>
      <c r="E381" s="22" t="str">
        <f aca="false">IF(A381="","",IFERROR(C381/B381,0))</f>
        <v/>
      </c>
      <c r="F381" s="19" t="str">
        <f aca="false">IF(A381="","",MAX(B381-C381,0))</f>
        <v/>
      </c>
      <c r="G381" s="19" t="str">
        <f aca="true">IF(OR(A381="",D381=""),"",IFERROR(F381/(DATEDIF(TODAY(),D381,"m")+1),F381))</f>
        <v/>
      </c>
    </row>
    <row r="382" customFormat="false" ht="15" hidden="false" customHeight="false" outlineLevel="0" collapsed="false">
      <c r="B382" s="19"/>
      <c r="C382" s="19"/>
      <c r="D382" s="20"/>
      <c r="E382" s="22" t="str">
        <f aca="false">IF(A382="","",IFERROR(C382/B382,0))</f>
        <v/>
      </c>
      <c r="F382" s="19" t="str">
        <f aca="false">IF(A382="","",MAX(B382-C382,0))</f>
        <v/>
      </c>
      <c r="G382" s="19" t="str">
        <f aca="true">IF(OR(A382="",D382=""),"",IFERROR(F382/(DATEDIF(TODAY(),D382,"m")+1),F382))</f>
        <v/>
      </c>
    </row>
    <row r="383" customFormat="false" ht="15" hidden="false" customHeight="false" outlineLevel="0" collapsed="false">
      <c r="B383" s="19"/>
      <c r="C383" s="19"/>
      <c r="D383" s="20"/>
      <c r="E383" s="22" t="str">
        <f aca="false">IF(A383="","",IFERROR(C383/B383,0))</f>
        <v/>
      </c>
      <c r="F383" s="19" t="str">
        <f aca="false">IF(A383="","",MAX(B383-C383,0))</f>
        <v/>
      </c>
      <c r="G383" s="19" t="str">
        <f aca="true">IF(OR(A383="",D383=""),"",IFERROR(F383/(DATEDIF(TODAY(),D383,"m")+1),F383))</f>
        <v/>
      </c>
    </row>
    <row r="384" customFormat="false" ht="15" hidden="false" customHeight="false" outlineLevel="0" collapsed="false">
      <c r="B384" s="19"/>
      <c r="C384" s="19"/>
      <c r="D384" s="20"/>
      <c r="E384" s="22" t="str">
        <f aca="false">IF(A384="","",IFERROR(C384/B384,0))</f>
        <v/>
      </c>
      <c r="F384" s="19" t="str">
        <f aca="false">IF(A384="","",MAX(B384-C384,0))</f>
        <v/>
      </c>
      <c r="G384" s="19" t="str">
        <f aca="true">IF(OR(A384="",D384=""),"",IFERROR(F384/(DATEDIF(TODAY(),D384,"m")+1),F384))</f>
        <v/>
      </c>
    </row>
    <row r="385" customFormat="false" ht="15" hidden="false" customHeight="false" outlineLevel="0" collapsed="false">
      <c r="B385" s="19"/>
      <c r="C385" s="19"/>
      <c r="D385" s="20"/>
      <c r="E385" s="22" t="str">
        <f aca="false">IF(A385="","",IFERROR(C385/B385,0))</f>
        <v/>
      </c>
      <c r="F385" s="19" t="str">
        <f aca="false">IF(A385="","",MAX(B385-C385,0))</f>
        <v/>
      </c>
      <c r="G385" s="19" t="str">
        <f aca="true">IF(OR(A385="",D385=""),"",IFERROR(F385/(DATEDIF(TODAY(),D385,"m")+1),F385))</f>
        <v/>
      </c>
    </row>
    <row r="386" customFormat="false" ht="15" hidden="false" customHeight="false" outlineLevel="0" collapsed="false">
      <c r="B386" s="19"/>
      <c r="C386" s="19"/>
      <c r="D386" s="20"/>
      <c r="E386" s="22" t="str">
        <f aca="false">IF(A386="","",IFERROR(C386/B386,0))</f>
        <v/>
      </c>
      <c r="F386" s="19" t="str">
        <f aca="false">IF(A386="","",MAX(B386-C386,0))</f>
        <v/>
      </c>
      <c r="G386" s="19" t="str">
        <f aca="true">IF(OR(A386="",D386=""),"",IFERROR(F386/(DATEDIF(TODAY(),D386,"m")+1),F386))</f>
        <v/>
      </c>
    </row>
    <row r="387" customFormat="false" ht="15" hidden="false" customHeight="false" outlineLevel="0" collapsed="false">
      <c r="B387" s="19"/>
      <c r="C387" s="19"/>
      <c r="D387" s="20"/>
      <c r="E387" s="22" t="str">
        <f aca="false">IF(A387="","",IFERROR(C387/B387,0))</f>
        <v/>
      </c>
      <c r="F387" s="19" t="str">
        <f aca="false">IF(A387="","",MAX(B387-C387,0))</f>
        <v/>
      </c>
      <c r="G387" s="19" t="str">
        <f aca="true">IF(OR(A387="",D387=""),"",IFERROR(F387/(DATEDIF(TODAY(),D387,"m")+1),F387))</f>
        <v/>
      </c>
    </row>
    <row r="388" customFormat="false" ht="15" hidden="false" customHeight="false" outlineLevel="0" collapsed="false">
      <c r="B388" s="19"/>
      <c r="C388" s="19"/>
      <c r="D388" s="20"/>
      <c r="E388" s="22" t="str">
        <f aca="false">IF(A388="","",IFERROR(C388/B388,0))</f>
        <v/>
      </c>
      <c r="F388" s="19" t="str">
        <f aca="false">IF(A388="","",MAX(B388-C388,0))</f>
        <v/>
      </c>
      <c r="G388" s="19" t="str">
        <f aca="true">IF(OR(A388="",D388=""),"",IFERROR(F388/(DATEDIF(TODAY(),D388,"m")+1),F388))</f>
        <v/>
      </c>
    </row>
    <row r="389" customFormat="false" ht="15" hidden="false" customHeight="false" outlineLevel="0" collapsed="false">
      <c r="B389" s="19"/>
      <c r="C389" s="19"/>
      <c r="D389" s="20"/>
      <c r="E389" s="22" t="str">
        <f aca="false">IF(A389="","",IFERROR(C389/B389,0))</f>
        <v/>
      </c>
      <c r="F389" s="19" t="str">
        <f aca="false">IF(A389="","",MAX(B389-C389,0))</f>
        <v/>
      </c>
      <c r="G389" s="19" t="str">
        <f aca="true">IF(OR(A389="",D389=""),"",IFERROR(F389/(DATEDIF(TODAY(),D389,"m")+1),F389))</f>
        <v/>
      </c>
    </row>
    <row r="390" customFormat="false" ht="15" hidden="false" customHeight="false" outlineLevel="0" collapsed="false">
      <c r="B390" s="19"/>
      <c r="C390" s="19"/>
      <c r="D390" s="20"/>
      <c r="E390" s="22" t="str">
        <f aca="false">IF(A390="","",IFERROR(C390/B390,0))</f>
        <v/>
      </c>
      <c r="F390" s="19" t="str">
        <f aca="false">IF(A390="","",MAX(B390-C390,0))</f>
        <v/>
      </c>
      <c r="G390" s="19" t="str">
        <f aca="true">IF(OR(A390="",D390=""),"",IFERROR(F390/(DATEDIF(TODAY(),D390,"m")+1),F390))</f>
        <v/>
      </c>
    </row>
    <row r="391" customFormat="false" ht="15" hidden="false" customHeight="false" outlineLevel="0" collapsed="false">
      <c r="B391" s="19"/>
      <c r="C391" s="19"/>
      <c r="D391" s="20"/>
      <c r="E391" s="22" t="str">
        <f aca="false">IF(A391="","",IFERROR(C391/B391,0))</f>
        <v/>
      </c>
      <c r="F391" s="19" t="str">
        <f aca="false">IF(A391="","",MAX(B391-C391,0))</f>
        <v/>
      </c>
      <c r="G391" s="19" t="str">
        <f aca="true">IF(OR(A391="",D391=""),"",IFERROR(F391/(DATEDIF(TODAY(),D391,"m")+1),F391))</f>
        <v/>
      </c>
    </row>
    <row r="392" customFormat="false" ht="15" hidden="false" customHeight="false" outlineLevel="0" collapsed="false">
      <c r="B392" s="19"/>
      <c r="C392" s="19"/>
      <c r="D392" s="20"/>
      <c r="E392" s="22" t="str">
        <f aca="false">IF(A392="","",IFERROR(C392/B392,0))</f>
        <v/>
      </c>
      <c r="F392" s="19" t="str">
        <f aca="false">IF(A392="","",MAX(B392-C392,0))</f>
        <v/>
      </c>
      <c r="G392" s="19" t="str">
        <f aca="true">IF(OR(A392="",D392=""),"",IFERROR(F392/(DATEDIF(TODAY(),D392,"m")+1),F392))</f>
        <v/>
      </c>
    </row>
    <row r="393" customFormat="false" ht="15" hidden="false" customHeight="false" outlineLevel="0" collapsed="false">
      <c r="B393" s="19"/>
      <c r="C393" s="19"/>
      <c r="D393" s="20"/>
      <c r="E393" s="22" t="str">
        <f aca="false">IF(A393="","",IFERROR(C393/B393,0))</f>
        <v/>
      </c>
      <c r="F393" s="19" t="str">
        <f aca="false">IF(A393="","",MAX(B393-C393,0))</f>
        <v/>
      </c>
      <c r="G393" s="19" t="str">
        <f aca="true">IF(OR(A393="",D393=""),"",IFERROR(F393/(DATEDIF(TODAY(),D393,"m")+1),F393))</f>
        <v/>
      </c>
    </row>
    <row r="394" customFormat="false" ht="15" hidden="false" customHeight="false" outlineLevel="0" collapsed="false">
      <c r="B394" s="19"/>
      <c r="C394" s="19"/>
      <c r="D394" s="20"/>
      <c r="E394" s="22" t="str">
        <f aca="false">IF(A394="","",IFERROR(C394/B394,0))</f>
        <v/>
      </c>
      <c r="F394" s="19" t="str">
        <f aca="false">IF(A394="","",MAX(B394-C394,0))</f>
        <v/>
      </c>
      <c r="G394" s="19" t="str">
        <f aca="true">IF(OR(A394="",D394=""),"",IFERROR(F394/(DATEDIF(TODAY(),D394,"m")+1),F394))</f>
        <v/>
      </c>
    </row>
    <row r="395" customFormat="false" ht="15" hidden="false" customHeight="false" outlineLevel="0" collapsed="false">
      <c r="B395" s="19"/>
      <c r="C395" s="19"/>
      <c r="D395" s="20"/>
      <c r="E395" s="22" t="str">
        <f aca="false">IF(A395="","",IFERROR(C395/B395,0))</f>
        <v/>
      </c>
      <c r="F395" s="19" t="str">
        <f aca="false">IF(A395="","",MAX(B395-C395,0))</f>
        <v/>
      </c>
      <c r="G395" s="19" t="str">
        <f aca="true">IF(OR(A395="",D395=""),"",IFERROR(F395/(DATEDIF(TODAY(),D395,"m")+1),F395))</f>
        <v/>
      </c>
    </row>
    <row r="396" customFormat="false" ht="15" hidden="false" customHeight="false" outlineLevel="0" collapsed="false">
      <c r="B396" s="19"/>
      <c r="C396" s="19"/>
      <c r="D396" s="20"/>
      <c r="E396" s="22" t="str">
        <f aca="false">IF(A396="","",IFERROR(C396/B396,0))</f>
        <v/>
      </c>
      <c r="F396" s="19" t="str">
        <f aca="false">IF(A396="","",MAX(B396-C396,0))</f>
        <v/>
      </c>
      <c r="G396" s="19" t="str">
        <f aca="true">IF(OR(A396="",D396=""),"",IFERROR(F396/(DATEDIF(TODAY(),D396,"m")+1),F396))</f>
        <v/>
      </c>
    </row>
    <row r="397" customFormat="false" ht="15" hidden="false" customHeight="false" outlineLevel="0" collapsed="false">
      <c r="B397" s="19"/>
      <c r="C397" s="19"/>
      <c r="D397" s="20"/>
      <c r="E397" s="22" t="str">
        <f aca="false">IF(A397="","",IFERROR(C397/B397,0))</f>
        <v/>
      </c>
      <c r="F397" s="19" t="str">
        <f aca="false">IF(A397="","",MAX(B397-C397,0))</f>
        <v/>
      </c>
      <c r="G397" s="19" t="str">
        <f aca="true">IF(OR(A397="",D397=""),"",IFERROR(F397/(DATEDIF(TODAY(),D397,"m")+1),F397))</f>
        <v/>
      </c>
    </row>
    <row r="398" customFormat="false" ht="15" hidden="false" customHeight="false" outlineLevel="0" collapsed="false">
      <c r="B398" s="19"/>
      <c r="C398" s="19"/>
      <c r="D398" s="20"/>
      <c r="E398" s="22" t="str">
        <f aca="false">IF(A398="","",IFERROR(C398/B398,0))</f>
        <v/>
      </c>
      <c r="F398" s="19" t="str">
        <f aca="false">IF(A398="","",MAX(B398-C398,0))</f>
        <v/>
      </c>
      <c r="G398" s="19" t="str">
        <f aca="true">IF(OR(A398="",D398=""),"",IFERROR(F398/(DATEDIF(TODAY(),D398,"m")+1),F398))</f>
        <v/>
      </c>
    </row>
    <row r="399" customFormat="false" ht="15" hidden="false" customHeight="false" outlineLevel="0" collapsed="false">
      <c r="B399" s="19"/>
      <c r="C399" s="19"/>
      <c r="D399" s="20"/>
      <c r="E399" s="22" t="str">
        <f aca="false">IF(A399="","",IFERROR(C399/B399,0))</f>
        <v/>
      </c>
      <c r="F399" s="19" t="str">
        <f aca="false">IF(A399="","",MAX(B399-C399,0))</f>
        <v/>
      </c>
      <c r="G399" s="19" t="str">
        <f aca="true">IF(OR(A399="",D399=""),"",IFERROR(F399/(DATEDIF(TODAY(),D399,"m")+1),F399))</f>
        <v/>
      </c>
    </row>
    <row r="400" customFormat="false" ht="15" hidden="false" customHeight="false" outlineLevel="0" collapsed="false">
      <c r="B400" s="19"/>
      <c r="C400" s="19"/>
      <c r="D400" s="20"/>
      <c r="E400" s="22" t="str">
        <f aca="false">IF(A400="","",IFERROR(C400/B400,0))</f>
        <v/>
      </c>
      <c r="F400" s="19" t="str">
        <f aca="false">IF(A400="","",MAX(B400-C400,0))</f>
        <v/>
      </c>
      <c r="G400" s="19" t="str">
        <f aca="true">IF(OR(A400="",D400=""),"",IFERROR(F400/(DATEDIF(TODAY(),D400,"m")+1),F400))</f>
        <v/>
      </c>
    </row>
    <row r="401" customFormat="false" ht="15" hidden="false" customHeight="false" outlineLevel="0" collapsed="false">
      <c r="B401" s="19"/>
      <c r="C401" s="19"/>
      <c r="D401" s="20"/>
      <c r="E401" s="22" t="str">
        <f aca="false">IF(A401="","",IFERROR(C401/B401,0))</f>
        <v/>
      </c>
      <c r="F401" s="19" t="str">
        <f aca="false">IF(A401="","",MAX(B401-C401,0))</f>
        <v/>
      </c>
      <c r="G401" s="19" t="str">
        <f aca="true">IF(OR(A401="",D401=""),"",IFERROR(F401/(DATEDIF(TODAY(),D401,"m")+1),F401))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17"/>
  </cols>
  <sheetData>
    <row r="1" customFormat="false" ht="19.5" hidden="false" customHeight="true" outlineLevel="0" collapsed="false">
      <c r="A1" s="10" t="s">
        <v>57</v>
      </c>
      <c r="B1" s="10" t="s">
        <v>58</v>
      </c>
      <c r="C1" s="10" t="s">
        <v>59</v>
      </c>
      <c r="D1" s="10" t="s">
        <v>49</v>
      </c>
      <c r="E1" s="10" t="s">
        <v>60</v>
      </c>
      <c r="F1" s="10" t="s">
        <v>61</v>
      </c>
    </row>
    <row r="2" customFormat="false" ht="15" hidden="false" customHeight="false" outlineLevel="0" collapsed="false">
      <c r="A2" s="2"/>
      <c r="B2" s="2"/>
      <c r="C2" s="15"/>
      <c r="D2" s="2"/>
      <c r="E2" s="17"/>
      <c r="F2" s="17"/>
    </row>
    <row r="3" customFormat="false" ht="15" hidden="false" customHeight="false" outlineLevel="0" collapsed="false">
      <c r="A3" s="2"/>
      <c r="B3" s="2"/>
      <c r="C3" s="15"/>
      <c r="D3" s="2"/>
      <c r="E3" s="17"/>
      <c r="F3" s="17"/>
    </row>
    <row r="4" customFormat="false" ht="15" hidden="false" customHeight="false" outlineLevel="0" collapsed="false">
      <c r="A4" s="2"/>
      <c r="B4" s="2"/>
      <c r="C4" s="15"/>
      <c r="D4" s="2"/>
      <c r="E4" s="17"/>
      <c r="F4" s="17"/>
    </row>
    <row r="5" customFormat="false" ht="15" hidden="false" customHeight="false" outlineLevel="0" collapsed="false">
      <c r="A5" s="2"/>
      <c r="B5" s="2"/>
      <c r="C5" s="15"/>
      <c r="D5" s="2"/>
      <c r="E5" s="17"/>
      <c r="F5" s="17"/>
    </row>
    <row r="6" customFormat="false" ht="15" hidden="false" customHeight="false" outlineLevel="0" collapsed="false">
      <c r="A6" s="2"/>
      <c r="B6" s="2"/>
      <c r="C6" s="15"/>
      <c r="D6" s="2"/>
      <c r="E6" s="17"/>
      <c r="F6" s="17"/>
    </row>
    <row r="7" customFormat="false" ht="15" hidden="false" customHeight="false" outlineLevel="0" collapsed="false">
      <c r="A7" s="2"/>
      <c r="B7" s="2"/>
      <c r="C7" s="15"/>
      <c r="D7" s="2"/>
      <c r="E7" s="17"/>
      <c r="F7" s="17"/>
    </row>
    <row r="8" customFormat="false" ht="15" hidden="false" customHeight="false" outlineLevel="0" collapsed="false">
      <c r="A8" s="2"/>
      <c r="B8" s="2"/>
      <c r="C8" s="15"/>
      <c r="D8" s="2"/>
      <c r="E8" s="17"/>
      <c r="F8" s="17"/>
    </row>
    <row r="9" customFormat="false" ht="15" hidden="false" customHeight="false" outlineLevel="0" collapsed="false">
      <c r="A9" s="2"/>
      <c r="B9" s="2"/>
      <c r="C9" s="15"/>
      <c r="D9" s="2"/>
      <c r="E9" s="17"/>
      <c r="F9" s="17"/>
    </row>
    <row r="10" customFormat="false" ht="15" hidden="false" customHeight="false" outlineLevel="0" collapsed="false">
      <c r="A10" s="2"/>
      <c r="B10" s="2"/>
      <c r="C10" s="15"/>
      <c r="D10" s="2"/>
      <c r="E10" s="17"/>
      <c r="F10" s="17"/>
    </row>
    <row r="11" customFormat="false" ht="15" hidden="false" customHeight="false" outlineLevel="0" collapsed="false">
      <c r="A11" s="2"/>
      <c r="B11" s="2"/>
      <c r="C11" s="15"/>
      <c r="D11" s="2"/>
      <c r="E11" s="17"/>
      <c r="F11" s="17"/>
    </row>
    <row r="12" customFormat="false" ht="15" hidden="false" customHeight="false" outlineLevel="0" collapsed="false">
      <c r="A12" s="2"/>
      <c r="B12" s="2"/>
      <c r="C12" s="15"/>
      <c r="D12" s="2"/>
      <c r="E12" s="17"/>
      <c r="F12" s="17"/>
    </row>
    <row r="13" customFormat="false" ht="15" hidden="false" customHeight="false" outlineLevel="0" collapsed="false">
      <c r="A13" s="2"/>
      <c r="B13" s="2"/>
      <c r="C13" s="15"/>
      <c r="D13" s="2"/>
      <c r="E13" s="17"/>
      <c r="F13" s="17"/>
    </row>
    <row r="14" customFormat="false" ht="15" hidden="false" customHeight="false" outlineLevel="0" collapsed="false">
      <c r="A14" s="2"/>
      <c r="B14" s="2"/>
      <c r="C14" s="15"/>
      <c r="D14" s="2"/>
      <c r="E14" s="17"/>
      <c r="F14" s="17"/>
    </row>
    <row r="15" customFormat="false" ht="15" hidden="false" customHeight="false" outlineLevel="0" collapsed="false">
      <c r="A15" s="2"/>
      <c r="B15" s="2"/>
      <c r="C15" s="15"/>
      <c r="D15" s="2"/>
      <c r="E15" s="17"/>
      <c r="F15" s="17"/>
    </row>
    <row r="16" customFormat="false" ht="15" hidden="false" customHeight="false" outlineLevel="0" collapsed="false">
      <c r="A16" s="2"/>
      <c r="B16" s="2"/>
      <c r="C16" s="15"/>
      <c r="D16" s="2"/>
      <c r="E16" s="17"/>
      <c r="F16" s="17"/>
    </row>
    <row r="17" customFormat="false" ht="15" hidden="false" customHeight="false" outlineLevel="0" collapsed="false">
      <c r="A17" s="2"/>
      <c r="B17" s="2"/>
      <c r="C17" s="15"/>
      <c r="D17" s="2"/>
      <c r="E17" s="17"/>
      <c r="F17" s="17"/>
    </row>
    <row r="18" customFormat="false" ht="15" hidden="false" customHeight="false" outlineLevel="0" collapsed="false">
      <c r="A18" s="2"/>
      <c r="B18" s="2"/>
      <c r="C18" s="15"/>
      <c r="D18" s="2"/>
      <c r="E18" s="17"/>
      <c r="F18" s="17"/>
    </row>
    <row r="19" customFormat="false" ht="15" hidden="false" customHeight="false" outlineLevel="0" collapsed="false">
      <c r="A19" s="2"/>
      <c r="B19" s="2"/>
      <c r="C19" s="15"/>
      <c r="D19" s="2"/>
      <c r="E19" s="17"/>
      <c r="F19" s="17"/>
    </row>
    <row r="20" customFormat="false" ht="15" hidden="false" customHeight="false" outlineLevel="0" collapsed="false">
      <c r="A20" s="2"/>
      <c r="B20" s="2"/>
      <c r="C20" s="15"/>
      <c r="D20" s="2"/>
      <c r="E20" s="17"/>
      <c r="F20" s="17"/>
    </row>
    <row r="21" customFormat="false" ht="15" hidden="false" customHeight="false" outlineLevel="0" collapsed="false">
      <c r="C21" s="20"/>
      <c r="E21" s="18"/>
      <c r="F21" s="18"/>
    </row>
    <row r="22" customFormat="false" ht="15" hidden="false" customHeight="false" outlineLevel="0" collapsed="false">
      <c r="C22" s="20"/>
      <c r="E22" s="18"/>
      <c r="F22" s="18"/>
    </row>
    <row r="23" customFormat="false" ht="15" hidden="false" customHeight="false" outlineLevel="0" collapsed="false">
      <c r="C23" s="20"/>
      <c r="E23" s="18"/>
      <c r="F23" s="18"/>
    </row>
    <row r="24" customFormat="false" ht="15" hidden="false" customHeight="false" outlineLevel="0" collapsed="false">
      <c r="C24" s="20"/>
      <c r="E24" s="18"/>
      <c r="F24" s="18"/>
    </row>
    <row r="25" customFormat="false" ht="15" hidden="false" customHeight="false" outlineLevel="0" collapsed="false">
      <c r="C25" s="20"/>
      <c r="E25" s="18"/>
      <c r="F25" s="18"/>
    </row>
    <row r="26" customFormat="false" ht="15" hidden="false" customHeight="false" outlineLevel="0" collapsed="false">
      <c r="C26" s="20"/>
      <c r="E26" s="18"/>
      <c r="F26" s="18"/>
    </row>
    <row r="27" customFormat="false" ht="15" hidden="false" customHeight="false" outlineLevel="0" collapsed="false">
      <c r="C27" s="20"/>
      <c r="E27" s="18"/>
      <c r="F27" s="18"/>
    </row>
    <row r="28" customFormat="false" ht="15" hidden="false" customHeight="false" outlineLevel="0" collapsed="false">
      <c r="C28" s="20"/>
      <c r="E28" s="18"/>
      <c r="F28" s="18"/>
    </row>
    <row r="29" customFormat="false" ht="15" hidden="false" customHeight="false" outlineLevel="0" collapsed="false">
      <c r="C29" s="20"/>
      <c r="E29" s="18"/>
      <c r="F29" s="18"/>
    </row>
    <row r="30" customFormat="false" ht="15" hidden="false" customHeight="false" outlineLevel="0" collapsed="false">
      <c r="C30" s="20"/>
      <c r="E30" s="18"/>
      <c r="F30" s="18"/>
    </row>
    <row r="31" customFormat="false" ht="15" hidden="false" customHeight="false" outlineLevel="0" collapsed="false">
      <c r="C31" s="20"/>
      <c r="E31" s="18"/>
      <c r="F31" s="18"/>
    </row>
    <row r="32" customFormat="false" ht="15" hidden="false" customHeight="false" outlineLevel="0" collapsed="false">
      <c r="C32" s="20"/>
      <c r="E32" s="18"/>
      <c r="F32" s="18"/>
    </row>
    <row r="33" customFormat="false" ht="15" hidden="false" customHeight="false" outlineLevel="0" collapsed="false">
      <c r="C33" s="20"/>
      <c r="E33" s="18"/>
      <c r="F33" s="18"/>
    </row>
    <row r="34" customFormat="false" ht="15" hidden="false" customHeight="false" outlineLevel="0" collapsed="false">
      <c r="C34" s="20"/>
      <c r="E34" s="18"/>
      <c r="F34" s="18"/>
    </row>
    <row r="35" customFormat="false" ht="15" hidden="false" customHeight="false" outlineLevel="0" collapsed="false">
      <c r="C35" s="20"/>
      <c r="E35" s="18"/>
      <c r="F35" s="18"/>
    </row>
    <row r="36" customFormat="false" ht="15" hidden="false" customHeight="false" outlineLevel="0" collapsed="false">
      <c r="C36" s="20"/>
      <c r="E36" s="18"/>
      <c r="F36" s="18"/>
    </row>
    <row r="37" customFormat="false" ht="15" hidden="false" customHeight="false" outlineLevel="0" collapsed="false">
      <c r="C37" s="20"/>
      <c r="E37" s="18"/>
      <c r="F37" s="18"/>
    </row>
    <row r="38" customFormat="false" ht="15" hidden="false" customHeight="false" outlineLevel="0" collapsed="false">
      <c r="C38" s="20"/>
      <c r="E38" s="18"/>
      <c r="F38" s="18"/>
    </row>
    <row r="39" customFormat="false" ht="15" hidden="false" customHeight="false" outlineLevel="0" collapsed="false">
      <c r="C39" s="20"/>
      <c r="E39" s="18"/>
      <c r="F39" s="18"/>
    </row>
    <row r="40" customFormat="false" ht="15" hidden="false" customHeight="false" outlineLevel="0" collapsed="false">
      <c r="C40" s="20"/>
      <c r="E40" s="18"/>
      <c r="F40" s="18"/>
    </row>
    <row r="41" customFormat="false" ht="15" hidden="false" customHeight="false" outlineLevel="0" collapsed="false">
      <c r="C41" s="20"/>
      <c r="E41" s="18"/>
      <c r="F41" s="18"/>
    </row>
    <row r="42" customFormat="false" ht="15" hidden="false" customHeight="false" outlineLevel="0" collapsed="false">
      <c r="C42" s="20"/>
      <c r="E42" s="18"/>
      <c r="F42" s="18"/>
    </row>
    <row r="43" customFormat="false" ht="15" hidden="false" customHeight="false" outlineLevel="0" collapsed="false">
      <c r="C43" s="20"/>
      <c r="E43" s="18"/>
      <c r="F43" s="18"/>
    </row>
    <row r="44" customFormat="false" ht="15" hidden="false" customHeight="false" outlineLevel="0" collapsed="false">
      <c r="C44" s="20"/>
      <c r="E44" s="18"/>
      <c r="F44" s="18"/>
    </row>
    <row r="45" customFormat="false" ht="15" hidden="false" customHeight="false" outlineLevel="0" collapsed="false">
      <c r="C45" s="20"/>
      <c r="E45" s="18"/>
      <c r="F45" s="18"/>
    </row>
    <row r="46" customFormat="false" ht="15" hidden="false" customHeight="false" outlineLevel="0" collapsed="false">
      <c r="C46" s="20"/>
      <c r="E46" s="18"/>
      <c r="F46" s="18"/>
    </row>
    <row r="47" customFormat="false" ht="15" hidden="false" customHeight="false" outlineLevel="0" collapsed="false">
      <c r="C47" s="20"/>
      <c r="E47" s="18"/>
      <c r="F47" s="18"/>
    </row>
    <row r="48" customFormat="false" ht="15" hidden="false" customHeight="false" outlineLevel="0" collapsed="false">
      <c r="C48" s="20"/>
      <c r="E48" s="18"/>
      <c r="F48" s="18"/>
    </row>
    <row r="49" customFormat="false" ht="15" hidden="false" customHeight="false" outlineLevel="0" collapsed="false">
      <c r="C49" s="20"/>
      <c r="E49" s="18"/>
      <c r="F49" s="18"/>
    </row>
    <row r="50" customFormat="false" ht="15" hidden="false" customHeight="false" outlineLevel="0" collapsed="false">
      <c r="C50" s="20"/>
      <c r="E50" s="18"/>
      <c r="F50" s="18"/>
    </row>
    <row r="51" customFormat="false" ht="15" hidden="false" customHeight="false" outlineLevel="0" collapsed="false">
      <c r="C51" s="20"/>
      <c r="E51" s="18"/>
      <c r="F51" s="18"/>
    </row>
    <row r="52" customFormat="false" ht="15" hidden="false" customHeight="false" outlineLevel="0" collapsed="false">
      <c r="C52" s="20"/>
      <c r="E52" s="18"/>
      <c r="F52" s="18"/>
    </row>
    <row r="53" customFormat="false" ht="15" hidden="false" customHeight="false" outlineLevel="0" collapsed="false">
      <c r="C53" s="20"/>
      <c r="E53" s="18"/>
      <c r="F53" s="18"/>
    </row>
    <row r="54" customFormat="false" ht="15" hidden="false" customHeight="false" outlineLevel="0" collapsed="false">
      <c r="C54" s="20"/>
      <c r="E54" s="18"/>
      <c r="F54" s="18"/>
    </row>
    <row r="55" customFormat="false" ht="15" hidden="false" customHeight="false" outlineLevel="0" collapsed="false">
      <c r="C55" s="20"/>
      <c r="E55" s="18"/>
      <c r="F55" s="18"/>
    </row>
    <row r="56" customFormat="false" ht="15" hidden="false" customHeight="false" outlineLevel="0" collapsed="false">
      <c r="C56" s="20"/>
      <c r="E56" s="18"/>
      <c r="F56" s="18"/>
    </row>
    <row r="57" customFormat="false" ht="15" hidden="false" customHeight="false" outlineLevel="0" collapsed="false">
      <c r="C57" s="20"/>
      <c r="E57" s="18"/>
      <c r="F57" s="18"/>
    </row>
    <row r="58" customFormat="false" ht="15" hidden="false" customHeight="false" outlineLevel="0" collapsed="false">
      <c r="C58" s="20"/>
      <c r="E58" s="18"/>
      <c r="F58" s="18"/>
    </row>
    <row r="59" customFormat="false" ht="15" hidden="false" customHeight="false" outlineLevel="0" collapsed="false">
      <c r="C59" s="20"/>
      <c r="E59" s="18"/>
      <c r="F59" s="18"/>
    </row>
    <row r="60" customFormat="false" ht="15" hidden="false" customHeight="false" outlineLevel="0" collapsed="false">
      <c r="C60" s="20"/>
      <c r="E60" s="18"/>
      <c r="F60" s="18"/>
    </row>
    <row r="61" customFormat="false" ht="15" hidden="false" customHeight="false" outlineLevel="0" collapsed="false">
      <c r="C61" s="20"/>
      <c r="E61" s="18"/>
      <c r="F61" s="18"/>
    </row>
    <row r="62" customFormat="false" ht="15" hidden="false" customHeight="false" outlineLevel="0" collapsed="false">
      <c r="C62" s="20"/>
      <c r="E62" s="18"/>
      <c r="F62" s="18"/>
    </row>
    <row r="63" customFormat="false" ht="15" hidden="false" customHeight="false" outlineLevel="0" collapsed="false">
      <c r="C63" s="20"/>
      <c r="E63" s="18"/>
      <c r="F63" s="18"/>
    </row>
    <row r="64" customFormat="false" ht="15" hidden="false" customHeight="false" outlineLevel="0" collapsed="false">
      <c r="C64" s="20"/>
      <c r="E64" s="18"/>
      <c r="F64" s="18"/>
    </row>
    <row r="65" customFormat="false" ht="15" hidden="false" customHeight="false" outlineLevel="0" collapsed="false">
      <c r="C65" s="20"/>
      <c r="E65" s="18"/>
      <c r="F65" s="18"/>
    </row>
    <row r="66" customFormat="false" ht="15" hidden="false" customHeight="false" outlineLevel="0" collapsed="false">
      <c r="C66" s="20"/>
      <c r="E66" s="18"/>
      <c r="F66" s="18"/>
    </row>
    <row r="67" customFormat="false" ht="15" hidden="false" customHeight="false" outlineLevel="0" collapsed="false">
      <c r="C67" s="20"/>
      <c r="E67" s="18"/>
      <c r="F67" s="18"/>
    </row>
    <row r="68" customFormat="false" ht="15" hidden="false" customHeight="false" outlineLevel="0" collapsed="false">
      <c r="C68" s="20"/>
      <c r="E68" s="18"/>
      <c r="F68" s="18"/>
    </row>
    <row r="69" customFormat="false" ht="15" hidden="false" customHeight="false" outlineLevel="0" collapsed="false">
      <c r="C69" s="20"/>
      <c r="E69" s="18"/>
      <c r="F69" s="18"/>
    </row>
    <row r="70" customFormat="false" ht="15" hidden="false" customHeight="false" outlineLevel="0" collapsed="false">
      <c r="C70" s="20"/>
      <c r="E70" s="18"/>
      <c r="F70" s="18"/>
    </row>
    <row r="71" customFormat="false" ht="15" hidden="false" customHeight="false" outlineLevel="0" collapsed="false">
      <c r="C71" s="20"/>
      <c r="E71" s="18"/>
      <c r="F71" s="18"/>
    </row>
    <row r="72" customFormat="false" ht="15" hidden="false" customHeight="false" outlineLevel="0" collapsed="false">
      <c r="C72" s="20"/>
      <c r="E72" s="18"/>
      <c r="F72" s="18"/>
    </row>
    <row r="73" customFormat="false" ht="15" hidden="false" customHeight="false" outlineLevel="0" collapsed="false">
      <c r="C73" s="20"/>
      <c r="E73" s="18"/>
      <c r="F73" s="18"/>
    </row>
    <row r="74" customFormat="false" ht="15" hidden="false" customHeight="false" outlineLevel="0" collapsed="false">
      <c r="C74" s="20"/>
      <c r="E74" s="18"/>
      <c r="F74" s="18"/>
    </row>
    <row r="75" customFormat="false" ht="15" hidden="false" customHeight="false" outlineLevel="0" collapsed="false">
      <c r="C75" s="20"/>
      <c r="E75" s="18"/>
      <c r="F75" s="18"/>
    </row>
    <row r="76" customFormat="false" ht="15" hidden="false" customHeight="false" outlineLevel="0" collapsed="false">
      <c r="C76" s="20"/>
      <c r="E76" s="18"/>
      <c r="F76" s="18"/>
    </row>
    <row r="77" customFormat="false" ht="15" hidden="false" customHeight="false" outlineLevel="0" collapsed="false">
      <c r="C77" s="20"/>
      <c r="E77" s="18"/>
      <c r="F77" s="18"/>
    </row>
    <row r="78" customFormat="false" ht="15" hidden="false" customHeight="false" outlineLevel="0" collapsed="false">
      <c r="C78" s="20"/>
      <c r="E78" s="18"/>
      <c r="F78" s="18"/>
    </row>
    <row r="79" customFormat="false" ht="15" hidden="false" customHeight="false" outlineLevel="0" collapsed="false">
      <c r="C79" s="20"/>
      <c r="E79" s="18"/>
      <c r="F79" s="18"/>
    </row>
    <row r="80" customFormat="false" ht="15" hidden="false" customHeight="false" outlineLevel="0" collapsed="false">
      <c r="C80" s="20"/>
      <c r="E80" s="18"/>
      <c r="F80" s="18"/>
    </row>
    <row r="81" customFormat="false" ht="15" hidden="false" customHeight="false" outlineLevel="0" collapsed="false">
      <c r="C81" s="20"/>
      <c r="E81" s="18"/>
      <c r="F81" s="18"/>
    </row>
    <row r="82" customFormat="false" ht="15" hidden="false" customHeight="false" outlineLevel="0" collapsed="false">
      <c r="C82" s="20"/>
      <c r="E82" s="18"/>
      <c r="F82" s="18"/>
    </row>
    <row r="83" customFormat="false" ht="15" hidden="false" customHeight="false" outlineLevel="0" collapsed="false">
      <c r="C83" s="20"/>
      <c r="E83" s="18"/>
      <c r="F83" s="18"/>
    </row>
    <row r="84" customFormat="false" ht="15" hidden="false" customHeight="false" outlineLevel="0" collapsed="false">
      <c r="C84" s="20"/>
      <c r="E84" s="18"/>
      <c r="F84" s="18"/>
    </row>
    <row r="85" customFormat="false" ht="15" hidden="false" customHeight="false" outlineLevel="0" collapsed="false">
      <c r="C85" s="20"/>
      <c r="E85" s="18"/>
      <c r="F85" s="18"/>
    </row>
    <row r="86" customFormat="false" ht="15" hidden="false" customHeight="false" outlineLevel="0" collapsed="false">
      <c r="C86" s="20"/>
      <c r="E86" s="18"/>
      <c r="F86" s="18"/>
    </row>
    <row r="87" customFormat="false" ht="15" hidden="false" customHeight="false" outlineLevel="0" collapsed="false">
      <c r="C87" s="20"/>
      <c r="E87" s="18"/>
      <c r="F87" s="18"/>
    </row>
    <row r="88" customFormat="false" ht="15" hidden="false" customHeight="false" outlineLevel="0" collapsed="false">
      <c r="C88" s="20"/>
      <c r="E88" s="18"/>
      <c r="F88" s="18"/>
    </row>
    <row r="89" customFormat="false" ht="15" hidden="false" customHeight="false" outlineLevel="0" collapsed="false">
      <c r="C89" s="20"/>
      <c r="E89" s="18"/>
      <c r="F89" s="18"/>
    </row>
    <row r="90" customFormat="false" ht="15" hidden="false" customHeight="false" outlineLevel="0" collapsed="false">
      <c r="C90" s="20"/>
      <c r="E90" s="18"/>
      <c r="F90" s="18"/>
    </row>
    <row r="91" customFormat="false" ht="15" hidden="false" customHeight="false" outlineLevel="0" collapsed="false">
      <c r="C91" s="20"/>
      <c r="E91" s="18"/>
      <c r="F91" s="18"/>
    </row>
    <row r="92" customFormat="false" ht="15" hidden="false" customHeight="false" outlineLevel="0" collapsed="false">
      <c r="C92" s="20"/>
      <c r="E92" s="18"/>
      <c r="F92" s="18"/>
    </row>
    <row r="93" customFormat="false" ht="15" hidden="false" customHeight="false" outlineLevel="0" collapsed="false">
      <c r="C93" s="20"/>
      <c r="E93" s="18"/>
      <c r="F93" s="18"/>
    </row>
    <row r="94" customFormat="false" ht="15" hidden="false" customHeight="false" outlineLevel="0" collapsed="false">
      <c r="C94" s="20"/>
      <c r="E94" s="18"/>
      <c r="F94" s="18"/>
    </row>
    <row r="95" customFormat="false" ht="15" hidden="false" customHeight="false" outlineLevel="0" collapsed="false">
      <c r="C95" s="20"/>
      <c r="E95" s="18"/>
      <c r="F95" s="18"/>
    </row>
    <row r="96" customFormat="false" ht="15" hidden="false" customHeight="false" outlineLevel="0" collapsed="false">
      <c r="C96" s="20"/>
      <c r="E96" s="18"/>
      <c r="F96" s="18"/>
    </row>
    <row r="97" customFormat="false" ht="15" hidden="false" customHeight="false" outlineLevel="0" collapsed="false">
      <c r="C97" s="20"/>
      <c r="E97" s="18"/>
      <c r="F97" s="18"/>
    </row>
    <row r="98" customFormat="false" ht="15" hidden="false" customHeight="false" outlineLevel="0" collapsed="false">
      <c r="C98" s="20"/>
      <c r="E98" s="18"/>
      <c r="F98" s="18"/>
    </row>
    <row r="99" customFormat="false" ht="15" hidden="false" customHeight="false" outlineLevel="0" collapsed="false">
      <c r="C99" s="20"/>
      <c r="E99" s="18"/>
      <c r="F99" s="18"/>
    </row>
    <row r="100" customFormat="false" ht="15" hidden="false" customHeight="false" outlineLevel="0" collapsed="false">
      <c r="C100" s="20"/>
      <c r="E100" s="18"/>
      <c r="F100" s="18"/>
    </row>
    <row r="101" customFormat="false" ht="15" hidden="false" customHeight="false" outlineLevel="0" collapsed="false">
      <c r="C101" s="20"/>
      <c r="E101" s="18"/>
      <c r="F101" s="18"/>
    </row>
    <row r="102" customFormat="false" ht="15" hidden="false" customHeight="false" outlineLevel="0" collapsed="false">
      <c r="C102" s="20"/>
      <c r="E102" s="18"/>
      <c r="F102" s="18"/>
    </row>
    <row r="103" customFormat="false" ht="15" hidden="false" customHeight="false" outlineLevel="0" collapsed="false">
      <c r="C103" s="20"/>
      <c r="E103" s="18"/>
      <c r="F103" s="18"/>
    </row>
    <row r="104" customFormat="false" ht="15" hidden="false" customHeight="false" outlineLevel="0" collapsed="false">
      <c r="C104" s="20"/>
      <c r="E104" s="18"/>
      <c r="F104" s="18"/>
    </row>
    <row r="105" customFormat="false" ht="15" hidden="false" customHeight="false" outlineLevel="0" collapsed="false">
      <c r="C105" s="20"/>
      <c r="E105" s="18"/>
      <c r="F105" s="18"/>
    </row>
    <row r="106" customFormat="false" ht="15" hidden="false" customHeight="false" outlineLevel="0" collapsed="false">
      <c r="C106" s="20"/>
      <c r="E106" s="18"/>
      <c r="F106" s="18"/>
    </row>
    <row r="107" customFormat="false" ht="15" hidden="false" customHeight="false" outlineLevel="0" collapsed="false">
      <c r="C107" s="20"/>
      <c r="E107" s="18"/>
      <c r="F107" s="18"/>
    </row>
    <row r="108" customFormat="false" ht="15" hidden="false" customHeight="false" outlineLevel="0" collapsed="false">
      <c r="C108" s="20"/>
      <c r="E108" s="18"/>
      <c r="F108" s="18"/>
    </row>
    <row r="109" customFormat="false" ht="15" hidden="false" customHeight="false" outlineLevel="0" collapsed="false">
      <c r="C109" s="20"/>
      <c r="E109" s="18"/>
      <c r="F109" s="18"/>
    </row>
    <row r="110" customFormat="false" ht="15" hidden="false" customHeight="false" outlineLevel="0" collapsed="false">
      <c r="C110" s="20"/>
      <c r="E110" s="18"/>
      <c r="F110" s="18"/>
    </row>
    <row r="111" customFormat="false" ht="15" hidden="false" customHeight="false" outlineLevel="0" collapsed="false">
      <c r="C111" s="20"/>
      <c r="E111" s="18"/>
      <c r="F111" s="18"/>
    </row>
    <row r="112" customFormat="false" ht="15" hidden="false" customHeight="false" outlineLevel="0" collapsed="false">
      <c r="C112" s="20"/>
      <c r="E112" s="18"/>
      <c r="F112" s="18"/>
    </row>
    <row r="113" customFormat="false" ht="15" hidden="false" customHeight="false" outlineLevel="0" collapsed="false">
      <c r="C113" s="20"/>
      <c r="E113" s="18"/>
      <c r="F113" s="18"/>
    </row>
    <row r="114" customFormat="false" ht="15" hidden="false" customHeight="false" outlineLevel="0" collapsed="false">
      <c r="C114" s="20"/>
      <c r="E114" s="18"/>
      <c r="F114" s="18"/>
    </row>
    <row r="115" customFormat="false" ht="15" hidden="false" customHeight="false" outlineLevel="0" collapsed="false">
      <c r="C115" s="20"/>
      <c r="E115" s="18"/>
      <c r="F115" s="18"/>
    </row>
    <row r="116" customFormat="false" ht="15" hidden="false" customHeight="false" outlineLevel="0" collapsed="false">
      <c r="C116" s="20"/>
      <c r="E116" s="18"/>
      <c r="F116" s="18"/>
    </row>
    <row r="117" customFormat="false" ht="15" hidden="false" customHeight="false" outlineLevel="0" collapsed="false">
      <c r="C117" s="20"/>
      <c r="E117" s="18"/>
      <c r="F117" s="18"/>
    </row>
    <row r="118" customFormat="false" ht="15" hidden="false" customHeight="false" outlineLevel="0" collapsed="false">
      <c r="C118" s="20"/>
      <c r="E118" s="18"/>
      <c r="F118" s="18"/>
    </row>
    <row r="119" customFormat="false" ht="15" hidden="false" customHeight="false" outlineLevel="0" collapsed="false">
      <c r="C119" s="20"/>
      <c r="E119" s="18"/>
      <c r="F119" s="18"/>
    </row>
    <row r="120" customFormat="false" ht="15" hidden="false" customHeight="false" outlineLevel="0" collapsed="false">
      <c r="C120" s="20"/>
      <c r="E120" s="18"/>
      <c r="F120" s="18"/>
    </row>
    <row r="121" customFormat="false" ht="15" hidden="false" customHeight="false" outlineLevel="0" collapsed="false">
      <c r="C121" s="20"/>
      <c r="E121" s="18"/>
      <c r="F121" s="18"/>
    </row>
    <row r="122" customFormat="false" ht="15" hidden="false" customHeight="false" outlineLevel="0" collapsed="false">
      <c r="C122" s="20"/>
      <c r="E122" s="18"/>
      <c r="F122" s="18"/>
    </row>
    <row r="123" customFormat="false" ht="15" hidden="false" customHeight="false" outlineLevel="0" collapsed="false">
      <c r="C123" s="20"/>
      <c r="E123" s="18"/>
      <c r="F123" s="18"/>
    </row>
    <row r="124" customFormat="false" ht="15" hidden="false" customHeight="false" outlineLevel="0" collapsed="false">
      <c r="C124" s="20"/>
      <c r="E124" s="18"/>
      <c r="F124" s="18"/>
    </row>
    <row r="125" customFormat="false" ht="15" hidden="false" customHeight="false" outlineLevel="0" collapsed="false">
      <c r="C125" s="20"/>
      <c r="E125" s="18"/>
      <c r="F125" s="18"/>
    </row>
    <row r="126" customFormat="false" ht="15" hidden="false" customHeight="false" outlineLevel="0" collapsed="false">
      <c r="C126" s="20"/>
      <c r="E126" s="18"/>
      <c r="F126" s="18"/>
    </row>
    <row r="127" customFormat="false" ht="15" hidden="false" customHeight="false" outlineLevel="0" collapsed="false">
      <c r="C127" s="20"/>
      <c r="E127" s="18"/>
      <c r="F127" s="18"/>
    </row>
    <row r="128" customFormat="false" ht="15" hidden="false" customHeight="false" outlineLevel="0" collapsed="false">
      <c r="C128" s="20"/>
      <c r="E128" s="18"/>
      <c r="F128" s="18"/>
    </row>
    <row r="129" customFormat="false" ht="15" hidden="false" customHeight="false" outlineLevel="0" collapsed="false">
      <c r="C129" s="20"/>
      <c r="E129" s="18"/>
      <c r="F129" s="18"/>
    </row>
    <row r="130" customFormat="false" ht="15" hidden="false" customHeight="false" outlineLevel="0" collapsed="false">
      <c r="C130" s="20"/>
      <c r="E130" s="18"/>
      <c r="F130" s="18"/>
    </row>
    <row r="131" customFormat="false" ht="15" hidden="false" customHeight="false" outlineLevel="0" collapsed="false">
      <c r="C131" s="20"/>
      <c r="E131" s="18"/>
      <c r="F131" s="18"/>
    </row>
    <row r="132" customFormat="false" ht="15" hidden="false" customHeight="false" outlineLevel="0" collapsed="false">
      <c r="C132" s="20"/>
      <c r="E132" s="18"/>
      <c r="F132" s="18"/>
    </row>
    <row r="133" customFormat="false" ht="15" hidden="false" customHeight="false" outlineLevel="0" collapsed="false">
      <c r="C133" s="20"/>
      <c r="E133" s="18"/>
      <c r="F133" s="18"/>
    </row>
    <row r="134" customFormat="false" ht="15" hidden="false" customHeight="false" outlineLevel="0" collapsed="false">
      <c r="C134" s="20"/>
      <c r="E134" s="18"/>
      <c r="F134" s="18"/>
    </row>
    <row r="135" customFormat="false" ht="15" hidden="false" customHeight="false" outlineLevel="0" collapsed="false">
      <c r="C135" s="20"/>
      <c r="E135" s="18"/>
      <c r="F135" s="18"/>
    </row>
    <row r="136" customFormat="false" ht="15" hidden="false" customHeight="false" outlineLevel="0" collapsed="false">
      <c r="C136" s="20"/>
      <c r="E136" s="18"/>
      <c r="F136" s="18"/>
    </row>
    <row r="137" customFormat="false" ht="15" hidden="false" customHeight="false" outlineLevel="0" collapsed="false">
      <c r="C137" s="20"/>
      <c r="E137" s="18"/>
      <c r="F137" s="18"/>
    </row>
    <row r="138" customFormat="false" ht="15" hidden="false" customHeight="false" outlineLevel="0" collapsed="false">
      <c r="C138" s="20"/>
      <c r="E138" s="18"/>
      <c r="F138" s="18"/>
    </row>
    <row r="139" customFormat="false" ht="15" hidden="false" customHeight="false" outlineLevel="0" collapsed="false">
      <c r="C139" s="20"/>
      <c r="E139" s="18"/>
      <c r="F139" s="18"/>
    </row>
    <row r="140" customFormat="false" ht="15" hidden="false" customHeight="false" outlineLevel="0" collapsed="false">
      <c r="C140" s="20"/>
      <c r="E140" s="18"/>
      <c r="F140" s="18"/>
    </row>
    <row r="141" customFormat="false" ht="15" hidden="false" customHeight="false" outlineLevel="0" collapsed="false">
      <c r="C141" s="20"/>
      <c r="E141" s="18"/>
      <c r="F141" s="18"/>
    </row>
    <row r="142" customFormat="false" ht="15" hidden="false" customHeight="false" outlineLevel="0" collapsed="false">
      <c r="C142" s="20"/>
      <c r="E142" s="18"/>
      <c r="F142" s="18"/>
    </row>
    <row r="143" customFormat="false" ht="15" hidden="false" customHeight="false" outlineLevel="0" collapsed="false">
      <c r="C143" s="20"/>
      <c r="E143" s="18"/>
      <c r="F143" s="18"/>
    </row>
    <row r="144" customFormat="false" ht="15" hidden="false" customHeight="false" outlineLevel="0" collapsed="false">
      <c r="C144" s="20"/>
      <c r="E144" s="18"/>
      <c r="F144" s="18"/>
    </row>
    <row r="145" customFormat="false" ht="15" hidden="false" customHeight="false" outlineLevel="0" collapsed="false">
      <c r="C145" s="20"/>
      <c r="E145" s="18"/>
      <c r="F145" s="18"/>
    </row>
    <row r="146" customFormat="false" ht="15" hidden="false" customHeight="false" outlineLevel="0" collapsed="false">
      <c r="C146" s="20"/>
      <c r="E146" s="18"/>
      <c r="F146" s="18"/>
    </row>
    <row r="147" customFormat="false" ht="15" hidden="false" customHeight="false" outlineLevel="0" collapsed="false">
      <c r="C147" s="20"/>
      <c r="E147" s="18"/>
      <c r="F147" s="18"/>
    </row>
    <row r="148" customFormat="false" ht="15" hidden="false" customHeight="false" outlineLevel="0" collapsed="false">
      <c r="C148" s="20"/>
      <c r="E148" s="18"/>
      <c r="F148" s="18"/>
    </row>
    <row r="149" customFormat="false" ht="15" hidden="false" customHeight="false" outlineLevel="0" collapsed="false">
      <c r="C149" s="20"/>
      <c r="E149" s="18"/>
      <c r="F149" s="18"/>
    </row>
    <row r="150" customFormat="false" ht="15" hidden="false" customHeight="false" outlineLevel="0" collapsed="false">
      <c r="C150" s="20"/>
      <c r="E150" s="18"/>
      <c r="F150" s="18"/>
    </row>
    <row r="151" customFormat="false" ht="15" hidden="false" customHeight="false" outlineLevel="0" collapsed="false">
      <c r="C151" s="20"/>
      <c r="E151" s="18"/>
      <c r="F151" s="18"/>
    </row>
    <row r="152" customFormat="false" ht="15" hidden="false" customHeight="false" outlineLevel="0" collapsed="false">
      <c r="C152" s="20"/>
      <c r="E152" s="18"/>
      <c r="F152" s="18"/>
    </row>
    <row r="153" customFormat="false" ht="15" hidden="false" customHeight="false" outlineLevel="0" collapsed="false">
      <c r="C153" s="20"/>
      <c r="E153" s="18"/>
      <c r="F153" s="18"/>
    </row>
    <row r="154" customFormat="false" ht="15" hidden="false" customHeight="false" outlineLevel="0" collapsed="false">
      <c r="C154" s="20"/>
      <c r="E154" s="18"/>
      <c r="F154" s="18"/>
    </row>
    <row r="155" customFormat="false" ht="15" hidden="false" customHeight="false" outlineLevel="0" collapsed="false">
      <c r="C155" s="20"/>
      <c r="E155" s="18"/>
      <c r="F155" s="18"/>
    </row>
    <row r="156" customFormat="false" ht="15" hidden="false" customHeight="false" outlineLevel="0" collapsed="false">
      <c r="C156" s="20"/>
      <c r="E156" s="18"/>
      <c r="F156" s="18"/>
    </row>
    <row r="157" customFormat="false" ht="15" hidden="false" customHeight="false" outlineLevel="0" collapsed="false">
      <c r="C157" s="20"/>
      <c r="E157" s="18"/>
      <c r="F157" s="18"/>
    </row>
    <row r="158" customFormat="false" ht="15" hidden="false" customHeight="false" outlineLevel="0" collapsed="false">
      <c r="C158" s="20"/>
      <c r="E158" s="18"/>
      <c r="F158" s="18"/>
    </row>
    <row r="159" customFormat="false" ht="15" hidden="false" customHeight="false" outlineLevel="0" collapsed="false">
      <c r="C159" s="20"/>
      <c r="E159" s="18"/>
      <c r="F159" s="18"/>
    </row>
    <row r="160" customFormat="false" ht="15" hidden="false" customHeight="false" outlineLevel="0" collapsed="false">
      <c r="C160" s="20"/>
      <c r="E160" s="18"/>
      <c r="F160" s="18"/>
    </row>
    <row r="161" customFormat="false" ht="15" hidden="false" customHeight="false" outlineLevel="0" collapsed="false">
      <c r="C161" s="20"/>
      <c r="E161" s="18"/>
      <c r="F161" s="18"/>
    </row>
    <row r="162" customFormat="false" ht="15" hidden="false" customHeight="false" outlineLevel="0" collapsed="false">
      <c r="C162" s="20"/>
      <c r="E162" s="18"/>
      <c r="F162" s="18"/>
    </row>
    <row r="163" customFormat="false" ht="15" hidden="false" customHeight="false" outlineLevel="0" collapsed="false">
      <c r="C163" s="20"/>
      <c r="E163" s="18"/>
      <c r="F163" s="18"/>
    </row>
    <row r="164" customFormat="false" ht="15" hidden="false" customHeight="false" outlineLevel="0" collapsed="false">
      <c r="C164" s="20"/>
      <c r="E164" s="18"/>
      <c r="F164" s="18"/>
    </row>
    <row r="165" customFormat="false" ht="15" hidden="false" customHeight="false" outlineLevel="0" collapsed="false">
      <c r="C165" s="20"/>
      <c r="E165" s="18"/>
      <c r="F165" s="18"/>
    </row>
    <row r="166" customFormat="false" ht="15" hidden="false" customHeight="false" outlineLevel="0" collapsed="false">
      <c r="C166" s="20"/>
      <c r="E166" s="18"/>
      <c r="F166" s="18"/>
    </row>
    <row r="167" customFormat="false" ht="15" hidden="false" customHeight="false" outlineLevel="0" collapsed="false">
      <c r="C167" s="20"/>
      <c r="E167" s="18"/>
      <c r="F167" s="18"/>
    </row>
    <row r="168" customFormat="false" ht="15" hidden="false" customHeight="false" outlineLevel="0" collapsed="false">
      <c r="C168" s="20"/>
      <c r="E168" s="18"/>
      <c r="F168" s="18"/>
    </row>
    <row r="169" customFormat="false" ht="15" hidden="false" customHeight="false" outlineLevel="0" collapsed="false">
      <c r="C169" s="20"/>
      <c r="E169" s="18"/>
      <c r="F169" s="18"/>
    </row>
    <row r="170" customFormat="false" ht="15" hidden="false" customHeight="false" outlineLevel="0" collapsed="false">
      <c r="C170" s="20"/>
      <c r="E170" s="18"/>
      <c r="F170" s="18"/>
    </row>
    <row r="171" customFormat="false" ht="15" hidden="false" customHeight="false" outlineLevel="0" collapsed="false">
      <c r="C171" s="20"/>
      <c r="E171" s="18"/>
      <c r="F171" s="18"/>
    </row>
    <row r="172" customFormat="false" ht="15" hidden="false" customHeight="false" outlineLevel="0" collapsed="false">
      <c r="C172" s="20"/>
      <c r="E172" s="18"/>
      <c r="F172" s="18"/>
    </row>
    <row r="173" customFormat="false" ht="15" hidden="false" customHeight="false" outlineLevel="0" collapsed="false">
      <c r="C173" s="20"/>
      <c r="E173" s="18"/>
      <c r="F173" s="18"/>
    </row>
    <row r="174" customFormat="false" ht="15" hidden="false" customHeight="false" outlineLevel="0" collapsed="false">
      <c r="C174" s="20"/>
      <c r="E174" s="18"/>
      <c r="F174" s="18"/>
    </row>
    <row r="175" customFormat="false" ht="15" hidden="false" customHeight="false" outlineLevel="0" collapsed="false">
      <c r="C175" s="20"/>
      <c r="E175" s="18"/>
      <c r="F175" s="18"/>
    </row>
    <row r="176" customFormat="false" ht="15" hidden="false" customHeight="false" outlineLevel="0" collapsed="false">
      <c r="C176" s="20"/>
      <c r="E176" s="18"/>
      <c r="F176" s="18"/>
    </row>
    <row r="177" customFormat="false" ht="15" hidden="false" customHeight="false" outlineLevel="0" collapsed="false">
      <c r="C177" s="20"/>
      <c r="E177" s="18"/>
      <c r="F177" s="18"/>
    </row>
    <row r="178" customFormat="false" ht="15" hidden="false" customHeight="false" outlineLevel="0" collapsed="false">
      <c r="C178" s="20"/>
      <c r="E178" s="18"/>
      <c r="F178" s="18"/>
    </row>
    <row r="179" customFormat="false" ht="15" hidden="false" customHeight="false" outlineLevel="0" collapsed="false">
      <c r="C179" s="20"/>
      <c r="E179" s="18"/>
      <c r="F179" s="18"/>
    </row>
    <row r="180" customFormat="false" ht="15" hidden="false" customHeight="false" outlineLevel="0" collapsed="false">
      <c r="C180" s="20"/>
      <c r="E180" s="18"/>
      <c r="F180" s="18"/>
    </row>
    <row r="181" customFormat="false" ht="15" hidden="false" customHeight="false" outlineLevel="0" collapsed="false">
      <c r="C181" s="20"/>
      <c r="E181" s="18"/>
      <c r="F181" s="18"/>
    </row>
    <row r="182" customFormat="false" ht="15" hidden="false" customHeight="false" outlineLevel="0" collapsed="false">
      <c r="C182" s="20"/>
      <c r="E182" s="18"/>
      <c r="F182" s="18"/>
    </row>
    <row r="183" customFormat="false" ht="15" hidden="false" customHeight="false" outlineLevel="0" collapsed="false">
      <c r="C183" s="20"/>
      <c r="E183" s="18"/>
      <c r="F183" s="18"/>
    </row>
    <row r="184" customFormat="false" ht="15" hidden="false" customHeight="false" outlineLevel="0" collapsed="false">
      <c r="C184" s="20"/>
      <c r="E184" s="18"/>
      <c r="F184" s="18"/>
    </row>
    <row r="185" customFormat="false" ht="15" hidden="false" customHeight="false" outlineLevel="0" collapsed="false">
      <c r="C185" s="20"/>
      <c r="E185" s="18"/>
      <c r="F185" s="18"/>
    </row>
    <row r="186" customFormat="false" ht="15" hidden="false" customHeight="false" outlineLevel="0" collapsed="false">
      <c r="C186" s="20"/>
      <c r="E186" s="18"/>
      <c r="F186" s="18"/>
    </row>
    <row r="187" customFormat="false" ht="15" hidden="false" customHeight="false" outlineLevel="0" collapsed="false">
      <c r="C187" s="20"/>
      <c r="E187" s="18"/>
      <c r="F187" s="18"/>
    </row>
    <row r="188" customFormat="false" ht="15" hidden="false" customHeight="false" outlineLevel="0" collapsed="false">
      <c r="C188" s="20"/>
      <c r="E188" s="18"/>
      <c r="F188" s="18"/>
    </row>
    <row r="189" customFormat="false" ht="15" hidden="false" customHeight="false" outlineLevel="0" collapsed="false">
      <c r="C189" s="20"/>
      <c r="E189" s="18"/>
      <c r="F189" s="18"/>
    </row>
    <row r="190" customFormat="false" ht="15" hidden="false" customHeight="false" outlineLevel="0" collapsed="false">
      <c r="C190" s="20"/>
      <c r="E190" s="18"/>
      <c r="F190" s="18"/>
    </row>
    <row r="191" customFormat="false" ht="15" hidden="false" customHeight="false" outlineLevel="0" collapsed="false">
      <c r="C191" s="20"/>
      <c r="E191" s="18"/>
      <c r="F191" s="18"/>
    </row>
    <row r="192" customFormat="false" ht="15" hidden="false" customHeight="false" outlineLevel="0" collapsed="false">
      <c r="C192" s="20"/>
      <c r="E192" s="18"/>
      <c r="F192" s="18"/>
    </row>
    <row r="193" customFormat="false" ht="15" hidden="false" customHeight="false" outlineLevel="0" collapsed="false">
      <c r="C193" s="20"/>
      <c r="E193" s="18"/>
      <c r="F193" s="18"/>
    </row>
    <row r="194" customFormat="false" ht="15" hidden="false" customHeight="false" outlineLevel="0" collapsed="false">
      <c r="C194" s="20"/>
      <c r="E194" s="18"/>
      <c r="F194" s="18"/>
    </row>
    <row r="195" customFormat="false" ht="15" hidden="false" customHeight="false" outlineLevel="0" collapsed="false">
      <c r="C195" s="20"/>
      <c r="E195" s="18"/>
      <c r="F195" s="18"/>
    </row>
    <row r="196" customFormat="false" ht="15" hidden="false" customHeight="false" outlineLevel="0" collapsed="false">
      <c r="C196" s="20"/>
      <c r="E196" s="18"/>
      <c r="F196" s="18"/>
    </row>
    <row r="197" customFormat="false" ht="15" hidden="false" customHeight="false" outlineLevel="0" collapsed="false">
      <c r="C197" s="20"/>
      <c r="E197" s="18"/>
      <c r="F197" s="18"/>
    </row>
    <row r="198" customFormat="false" ht="15" hidden="false" customHeight="false" outlineLevel="0" collapsed="false">
      <c r="C198" s="20"/>
      <c r="E198" s="18"/>
      <c r="F198" s="18"/>
    </row>
    <row r="199" customFormat="false" ht="15" hidden="false" customHeight="false" outlineLevel="0" collapsed="false">
      <c r="C199" s="20"/>
      <c r="E199" s="18"/>
      <c r="F199" s="18"/>
    </row>
    <row r="200" customFormat="false" ht="15" hidden="false" customHeight="false" outlineLevel="0" collapsed="false">
      <c r="C200" s="20"/>
      <c r="E200" s="18"/>
      <c r="F200" s="18"/>
    </row>
    <row r="201" customFormat="false" ht="15" hidden="false" customHeight="false" outlineLevel="0" collapsed="false">
      <c r="C201" s="20"/>
      <c r="E201" s="18"/>
      <c r="F201" s="18"/>
    </row>
    <row r="202" customFormat="false" ht="15" hidden="false" customHeight="false" outlineLevel="0" collapsed="false">
      <c r="C202" s="20"/>
      <c r="E202" s="18"/>
      <c r="F202" s="18"/>
    </row>
    <row r="203" customFormat="false" ht="15" hidden="false" customHeight="false" outlineLevel="0" collapsed="false">
      <c r="C203" s="20"/>
      <c r="E203" s="18"/>
      <c r="F203" s="18"/>
    </row>
    <row r="204" customFormat="false" ht="15" hidden="false" customHeight="false" outlineLevel="0" collapsed="false">
      <c r="C204" s="20"/>
      <c r="E204" s="18"/>
      <c r="F204" s="18"/>
    </row>
    <row r="205" customFormat="false" ht="15" hidden="false" customHeight="false" outlineLevel="0" collapsed="false">
      <c r="C205" s="20"/>
      <c r="E205" s="18"/>
      <c r="F205" s="18"/>
    </row>
    <row r="206" customFormat="false" ht="15" hidden="false" customHeight="false" outlineLevel="0" collapsed="false">
      <c r="C206" s="20"/>
      <c r="E206" s="18"/>
      <c r="F206" s="18"/>
    </row>
    <row r="207" customFormat="false" ht="15" hidden="false" customHeight="false" outlineLevel="0" collapsed="false">
      <c r="C207" s="20"/>
      <c r="E207" s="18"/>
      <c r="F207" s="18"/>
    </row>
    <row r="208" customFormat="false" ht="15" hidden="false" customHeight="false" outlineLevel="0" collapsed="false">
      <c r="C208" s="20"/>
      <c r="E208" s="18"/>
      <c r="F208" s="18"/>
    </row>
    <row r="209" customFormat="false" ht="15" hidden="false" customHeight="false" outlineLevel="0" collapsed="false">
      <c r="C209" s="20"/>
      <c r="E209" s="18"/>
      <c r="F209" s="18"/>
    </row>
    <row r="210" customFormat="false" ht="15" hidden="false" customHeight="false" outlineLevel="0" collapsed="false">
      <c r="C210" s="20"/>
      <c r="E210" s="18"/>
      <c r="F210" s="18"/>
    </row>
    <row r="211" customFormat="false" ht="15" hidden="false" customHeight="false" outlineLevel="0" collapsed="false">
      <c r="C211" s="20"/>
      <c r="E211" s="18"/>
      <c r="F211" s="18"/>
    </row>
    <row r="212" customFormat="false" ht="15" hidden="false" customHeight="false" outlineLevel="0" collapsed="false">
      <c r="C212" s="20"/>
      <c r="E212" s="18"/>
      <c r="F212" s="18"/>
    </row>
    <row r="213" customFormat="false" ht="15" hidden="false" customHeight="false" outlineLevel="0" collapsed="false">
      <c r="C213" s="20"/>
      <c r="E213" s="18"/>
      <c r="F213" s="18"/>
    </row>
    <row r="214" customFormat="false" ht="15" hidden="false" customHeight="false" outlineLevel="0" collapsed="false">
      <c r="C214" s="20"/>
      <c r="E214" s="18"/>
      <c r="F214" s="18"/>
    </row>
    <row r="215" customFormat="false" ht="15" hidden="false" customHeight="false" outlineLevel="0" collapsed="false">
      <c r="C215" s="20"/>
      <c r="E215" s="18"/>
      <c r="F215" s="18"/>
    </row>
    <row r="216" customFormat="false" ht="15" hidden="false" customHeight="false" outlineLevel="0" collapsed="false">
      <c r="C216" s="20"/>
      <c r="E216" s="18"/>
      <c r="F216" s="18"/>
    </row>
    <row r="217" customFormat="false" ht="15" hidden="false" customHeight="false" outlineLevel="0" collapsed="false">
      <c r="C217" s="20"/>
      <c r="E217" s="18"/>
      <c r="F217" s="18"/>
    </row>
    <row r="218" customFormat="false" ht="15" hidden="false" customHeight="false" outlineLevel="0" collapsed="false">
      <c r="C218" s="20"/>
      <c r="E218" s="18"/>
      <c r="F218" s="18"/>
    </row>
    <row r="219" customFormat="false" ht="15" hidden="false" customHeight="false" outlineLevel="0" collapsed="false">
      <c r="C219" s="20"/>
      <c r="E219" s="18"/>
      <c r="F219" s="18"/>
    </row>
    <row r="220" customFormat="false" ht="15" hidden="false" customHeight="false" outlineLevel="0" collapsed="false">
      <c r="C220" s="20"/>
      <c r="E220" s="18"/>
      <c r="F220" s="18"/>
    </row>
    <row r="221" customFormat="false" ht="15" hidden="false" customHeight="false" outlineLevel="0" collapsed="false">
      <c r="C221" s="20"/>
      <c r="E221" s="18"/>
      <c r="F221" s="18"/>
    </row>
    <row r="222" customFormat="false" ht="15" hidden="false" customHeight="false" outlineLevel="0" collapsed="false">
      <c r="C222" s="20"/>
      <c r="E222" s="18"/>
      <c r="F222" s="18"/>
    </row>
    <row r="223" customFormat="false" ht="15" hidden="false" customHeight="false" outlineLevel="0" collapsed="false">
      <c r="C223" s="20"/>
      <c r="E223" s="18"/>
      <c r="F223" s="18"/>
    </row>
    <row r="224" customFormat="false" ht="15" hidden="false" customHeight="false" outlineLevel="0" collapsed="false">
      <c r="C224" s="20"/>
      <c r="E224" s="18"/>
      <c r="F224" s="18"/>
    </row>
    <row r="225" customFormat="false" ht="15" hidden="false" customHeight="false" outlineLevel="0" collapsed="false">
      <c r="C225" s="20"/>
      <c r="E225" s="18"/>
      <c r="F225" s="18"/>
    </row>
    <row r="226" customFormat="false" ht="15" hidden="false" customHeight="false" outlineLevel="0" collapsed="false">
      <c r="C226" s="20"/>
      <c r="E226" s="18"/>
      <c r="F226" s="18"/>
    </row>
    <row r="227" customFormat="false" ht="15" hidden="false" customHeight="false" outlineLevel="0" collapsed="false">
      <c r="C227" s="20"/>
      <c r="E227" s="18"/>
      <c r="F227" s="18"/>
    </row>
    <row r="228" customFormat="false" ht="15" hidden="false" customHeight="false" outlineLevel="0" collapsed="false">
      <c r="C228" s="20"/>
      <c r="E228" s="18"/>
      <c r="F228" s="18"/>
    </row>
    <row r="229" customFormat="false" ht="15" hidden="false" customHeight="false" outlineLevel="0" collapsed="false">
      <c r="C229" s="20"/>
      <c r="E229" s="18"/>
      <c r="F229" s="18"/>
    </row>
    <row r="230" customFormat="false" ht="15" hidden="false" customHeight="false" outlineLevel="0" collapsed="false">
      <c r="C230" s="20"/>
      <c r="E230" s="18"/>
      <c r="F230" s="18"/>
    </row>
    <row r="231" customFormat="false" ht="15" hidden="false" customHeight="false" outlineLevel="0" collapsed="false">
      <c r="C231" s="20"/>
      <c r="E231" s="18"/>
      <c r="F231" s="18"/>
    </row>
    <row r="232" customFormat="false" ht="15" hidden="false" customHeight="false" outlineLevel="0" collapsed="false">
      <c r="C232" s="20"/>
      <c r="E232" s="18"/>
      <c r="F232" s="18"/>
    </row>
    <row r="233" customFormat="false" ht="15" hidden="false" customHeight="false" outlineLevel="0" collapsed="false">
      <c r="C233" s="20"/>
      <c r="E233" s="18"/>
      <c r="F233" s="18"/>
    </row>
    <row r="234" customFormat="false" ht="15" hidden="false" customHeight="false" outlineLevel="0" collapsed="false">
      <c r="C234" s="20"/>
      <c r="E234" s="18"/>
      <c r="F234" s="18"/>
    </row>
    <row r="235" customFormat="false" ht="15" hidden="false" customHeight="false" outlineLevel="0" collapsed="false">
      <c r="C235" s="20"/>
      <c r="E235" s="18"/>
      <c r="F235" s="18"/>
    </row>
    <row r="236" customFormat="false" ht="15" hidden="false" customHeight="false" outlineLevel="0" collapsed="false">
      <c r="C236" s="20"/>
      <c r="E236" s="18"/>
      <c r="F236" s="18"/>
    </row>
    <row r="237" customFormat="false" ht="15" hidden="false" customHeight="false" outlineLevel="0" collapsed="false">
      <c r="C237" s="20"/>
      <c r="E237" s="18"/>
      <c r="F237" s="18"/>
    </row>
    <row r="238" customFormat="false" ht="15" hidden="false" customHeight="false" outlineLevel="0" collapsed="false">
      <c r="C238" s="20"/>
      <c r="E238" s="18"/>
      <c r="F238" s="18"/>
    </row>
    <row r="239" customFormat="false" ht="15" hidden="false" customHeight="false" outlineLevel="0" collapsed="false">
      <c r="C239" s="20"/>
      <c r="E239" s="18"/>
      <c r="F239" s="18"/>
    </row>
    <row r="240" customFormat="false" ht="15" hidden="false" customHeight="false" outlineLevel="0" collapsed="false">
      <c r="C240" s="20"/>
      <c r="E240" s="18"/>
      <c r="F240" s="18"/>
    </row>
    <row r="241" customFormat="false" ht="15" hidden="false" customHeight="false" outlineLevel="0" collapsed="false">
      <c r="C241" s="20"/>
      <c r="E241" s="18"/>
      <c r="F241" s="18"/>
    </row>
    <row r="242" customFormat="false" ht="15" hidden="false" customHeight="false" outlineLevel="0" collapsed="false">
      <c r="C242" s="20"/>
      <c r="E242" s="18"/>
      <c r="F242" s="18"/>
    </row>
    <row r="243" customFormat="false" ht="15" hidden="false" customHeight="false" outlineLevel="0" collapsed="false">
      <c r="C243" s="20"/>
      <c r="E243" s="18"/>
      <c r="F243" s="18"/>
    </row>
    <row r="244" customFormat="false" ht="15" hidden="false" customHeight="false" outlineLevel="0" collapsed="false">
      <c r="C244" s="20"/>
      <c r="E244" s="18"/>
      <c r="F244" s="18"/>
    </row>
    <row r="245" customFormat="false" ht="15" hidden="false" customHeight="false" outlineLevel="0" collapsed="false">
      <c r="C245" s="20"/>
      <c r="E245" s="18"/>
      <c r="F245" s="18"/>
    </row>
    <row r="246" customFormat="false" ht="15" hidden="false" customHeight="false" outlineLevel="0" collapsed="false">
      <c r="C246" s="20"/>
      <c r="E246" s="18"/>
      <c r="F246" s="18"/>
    </row>
    <row r="247" customFormat="false" ht="15" hidden="false" customHeight="false" outlineLevel="0" collapsed="false">
      <c r="C247" s="20"/>
      <c r="E247" s="18"/>
      <c r="F247" s="18"/>
    </row>
    <row r="248" customFormat="false" ht="15" hidden="false" customHeight="false" outlineLevel="0" collapsed="false">
      <c r="C248" s="20"/>
      <c r="E248" s="18"/>
      <c r="F248" s="18"/>
    </row>
    <row r="249" customFormat="false" ht="15" hidden="false" customHeight="false" outlineLevel="0" collapsed="false">
      <c r="C249" s="20"/>
      <c r="E249" s="18"/>
      <c r="F249" s="18"/>
    </row>
    <row r="250" customFormat="false" ht="15" hidden="false" customHeight="false" outlineLevel="0" collapsed="false">
      <c r="C250" s="20"/>
      <c r="E250" s="18"/>
      <c r="F250" s="18"/>
    </row>
    <row r="251" customFormat="false" ht="15" hidden="false" customHeight="false" outlineLevel="0" collapsed="false">
      <c r="C251" s="20"/>
      <c r="E251" s="18"/>
      <c r="F251" s="18"/>
    </row>
    <row r="252" customFormat="false" ht="15" hidden="false" customHeight="false" outlineLevel="0" collapsed="false">
      <c r="C252" s="20"/>
      <c r="E252" s="18"/>
      <c r="F252" s="18"/>
    </row>
    <row r="253" customFormat="false" ht="15" hidden="false" customHeight="false" outlineLevel="0" collapsed="false">
      <c r="C253" s="20"/>
      <c r="E253" s="18"/>
      <c r="F253" s="18"/>
    </row>
    <row r="254" customFormat="false" ht="15" hidden="false" customHeight="false" outlineLevel="0" collapsed="false">
      <c r="C254" s="20"/>
      <c r="E254" s="18"/>
      <c r="F254" s="18"/>
    </row>
    <row r="255" customFormat="false" ht="15" hidden="false" customHeight="false" outlineLevel="0" collapsed="false">
      <c r="C255" s="20"/>
      <c r="E255" s="18"/>
      <c r="F255" s="18"/>
    </row>
    <row r="256" customFormat="false" ht="15" hidden="false" customHeight="false" outlineLevel="0" collapsed="false">
      <c r="C256" s="20"/>
      <c r="E256" s="18"/>
      <c r="F256" s="18"/>
    </row>
    <row r="257" customFormat="false" ht="15" hidden="false" customHeight="false" outlineLevel="0" collapsed="false">
      <c r="C257" s="20"/>
      <c r="E257" s="18"/>
      <c r="F257" s="18"/>
    </row>
    <row r="258" customFormat="false" ht="15" hidden="false" customHeight="false" outlineLevel="0" collapsed="false">
      <c r="C258" s="20"/>
      <c r="E258" s="18"/>
      <c r="F258" s="18"/>
    </row>
    <row r="259" customFormat="false" ht="15" hidden="false" customHeight="false" outlineLevel="0" collapsed="false">
      <c r="C259" s="20"/>
      <c r="E259" s="18"/>
      <c r="F259" s="18"/>
    </row>
    <row r="260" customFormat="false" ht="15" hidden="false" customHeight="false" outlineLevel="0" collapsed="false">
      <c r="C260" s="20"/>
      <c r="E260" s="18"/>
      <c r="F260" s="18"/>
    </row>
    <row r="261" customFormat="false" ht="15" hidden="false" customHeight="false" outlineLevel="0" collapsed="false">
      <c r="C261" s="20"/>
      <c r="E261" s="18"/>
      <c r="F261" s="18"/>
    </row>
    <row r="262" customFormat="false" ht="15" hidden="false" customHeight="false" outlineLevel="0" collapsed="false">
      <c r="C262" s="20"/>
      <c r="E262" s="18"/>
      <c r="F262" s="18"/>
    </row>
    <row r="263" customFormat="false" ht="15" hidden="false" customHeight="false" outlineLevel="0" collapsed="false">
      <c r="C263" s="20"/>
      <c r="E263" s="18"/>
      <c r="F263" s="18"/>
    </row>
    <row r="264" customFormat="false" ht="15" hidden="false" customHeight="false" outlineLevel="0" collapsed="false">
      <c r="C264" s="20"/>
      <c r="E264" s="18"/>
      <c r="F264" s="18"/>
    </row>
    <row r="265" customFormat="false" ht="15" hidden="false" customHeight="false" outlineLevel="0" collapsed="false">
      <c r="C265" s="20"/>
      <c r="E265" s="18"/>
      <c r="F265" s="18"/>
    </row>
    <row r="266" customFormat="false" ht="15" hidden="false" customHeight="false" outlineLevel="0" collapsed="false">
      <c r="C266" s="20"/>
      <c r="E266" s="18"/>
      <c r="F266" s="18"/>
    </row>
    <row r="267" customFormat="false" ht="15" hidden="false" customHeight="false" outlineLevel="0" collapsed="false">
      <c r="C267" s="20"/>
      <c r="E267" s="18"/>
      <c r="F267" s="18"/>
    </row>
    <row r="268" customFormat="false" ht="15" hidden="false" customHeight="false" outlineLevel="0" collapsed="false">
      <c r="C268" s="20"/>
      <c r="E268" s="18"/>
      <c r="F268" s="18"/>
    </row>
    <row r="269" customFormat="false" ht="15" hidden="false" customHeight="false" outlineLevel="0" collapsed="false">
      <c r="C269" s="20"/>
      <c r="E269" s="18"/>
      <c r="F269" s="18"/>
    </row>
    <row r="270" customFormat="false" ht="15" hidden="false" customHeight="false" outlineLevel="0" collapsed="false">
      <c r="C270" s="20"/>
      <c r="E270" s="18"/>
      <c r="F270" s="18"/>
    </row>
    <row r="271" customFormat="false" ht="15" hidden="false" customHeight="false" outlineLevel="0" collapsed="false">
      <c r="C271" s="20"/>
      <c r="E271" s="18"/>
      <c r="F271" s="18"/>
    </row>
    <row r="272" customFormat="false" ht="15" hidden="false" customHeight="false" outlineLevel="0" collapsed="false">
      <c r="C272" s="20"/>
      <c r="E272" s="18"/>
      <c r="F272" s="18"/>
    </row>
    <row r="273" customFormat="false" ht="15" hidden="false" customHeight="false" outlineLevel="0" collapsed="false">
      <c r="C273" s="20"/>
      <c r="E273" s="18"/>
      <c r="F273" s="18"/>
    </row>
    <row r="274" customFormat="false" ht="15" hidden="false" customHeight="false" outlineLevel="0" collapsed="false">
      <c r="C274" s="20"/>
      <c r="E274" s="18"/>
      <c r="F274" s="18"/>
    </row>
    <row r="275" customFormat="false" ht="15" hidden="false" customHeight="false" outlineLevel="0" collapsed="false">
      <c r="C275" s="20"/>
      <c r="E275" s="18"/>
      <c r="F275" s="18"/>
    </row>
    <row r="276" customFormat="false" ht="15" hidden="false" customHeight="false" outlineLevel="0" collapsed="false">
      <c r="C276" s="20"/>
      <c r="E276" s="18"/>
      <c r="F276" s="18"/>
    </row>
    <row r="277" customFormat="false" ht="15" hidden="false" customHeight="false" outlineLevel="0" collapsed="false">
      <c r="C277" s="20"/>
      <c r="E277" s="18"/>
      <c r="F277" s="18"/>
    </row>
    <row r="278" customFormat="false" ht="15" hidden="false" customHeight="false" outlineLevel="0" collapsed="false">
      <c r="C278" s="20"/>
      <c r="E278" s="18"/>
      <c r="F278" s="18"/>
    </row>
    <row r="279" customFormat="false" ht="15" hidden="false" customHeight="false" outlineLevel="0" collapsed="false">
      <c r="C279" s="20"/>
      <c r="E279" s="18"/>
      <c r="F279" s="18"/>
    </row>
    <row r="280" customFormat="false" ht="15" hidden="false" customHeight="false" outlineLevel="0" collapsed="false">
      <c r="C280" s="20"/>
      <c r="E280" s="18"/>
      <c r="F280" s="18"/>
    </row>
    <row r="281" customFormat="false" ht="15" hidden="false" customHeight="false" outlineLevel="0" collapsed="false">
      <c r="C281" s="20"/>
      <c r="E281" s="18"/>
      <c r="F281" s="18"/>
    </row>
    <row r="282" customFormat="false" ht="15" hidden="false" customHeight="false" outlineLevel="0" collapsed="false">
      <c r="C282" s="20"/>
      <c r="E282" s="18"/>
      <c r="F282" s="18"/>
    </row>
    <row r="283" customFormat="false" ht="15" hidden="false" customHeight="false" outlineLevel="0" collapsed="false">
      <c r="C283" s="20"/>
      <c r="E283" s="18"/>
      <c r="F283" s="18"/>
    </row>
    <row r="284" customFormat="false" ht="15" hidden="false" customHeight="false" outlineLevel="0" collapsed="false">
      <c r="C284" s="20"/>
      <c r="E284" s="18"/>
      <c r="F284" s="18"/>
    </row>
    <row r="285" customFormat="false" ht="15" hidden="false" customHeight="false" outlineLevel="0" collapsed="false">
      <c r="C285" s="20"/>
      <c r="E285" s="18"/>
      <c r="F285" s="18"/>
    </row>
    <row r="286" customFormat="false" ht="15" hidden="false" customHeight="false" outlineLevel="0" collapsed="false">
      <c r="C286" s="20"/>
      <c r="E286" s="18"/>
      <c r="F286" s="18"/>
    </row>
    <row r="287" customFormat="false" ht="15" hidden="false" customHeight="false" outlineLevel="0" collapsed="false">
      <c r="C287" s="20"/>
      <c r="E287" s="18"/>
      <c r="F287" s="18"/>
    </row>
    <row r="288" customFormat="false" ht="15" hidden="false" customHeight="false" outlineLevel="0" collapsed="false">
      <c r="C288" s="20"/>
      <c r="E288" s="18"/>
      <c r="F288" s="18"/>
    </row>
    <row r="289" customFormat="false" ht="15" hidden="false" customHeight="false" outlineLevel="0" collapsed="false">
      <c r="C289" s="20"/>
      <c r="E289" s="18"/>
      <c r="F289" s="18"/>
    </row>
    <row r="290" customFormat="false" ht="15" hidden="false" customHeight="false" outlineLevel="0" collapsed="false">
      <c r="C290" s="20"/>
      <c r="E290" s="18"/>
      <c r="F290" s="18"/>
    </row>
    <row r="291" customFormat="false" ht="15" hidden="false" customHeight="false" outlineLevel="0" collapsed="false">
      <c r="C291" s="20"/>
      <c r="E291" s="18"/>
      <c r="F291" s="18"/>
    </row>
    <row r="292" customFormat="false" ht="15" hidden="false" customHeight="false" outlineLevel="0" collapsed="false">
      <c r="C292" s="20"/>
      <c r="E292" s="18"/>
      <c r="F292" s="18"/>
    </row>
    <row r="293" customFormat="false" ht="15" hidden="false" customHeight="false" outlineLevel="0" collapsed="false">
      <c r="C293" s="20"/>
      <c r="E293" s="18"/>
      <c r="F293" s="18"/>
    </row>
    <row r="294" customFormat="false" ht="15" hidden="false" customHeight="false" outlineLevel="0" collapsed="false">
      <c r="C294" s="20"/>
      <c r="E294" s="18"/>
      <c r="F294" s="18"/>
    </row>
    <row r="295" customFormat="false" ht="15" hidden="false" customHeight="false" outlineLevel="0" collapsed="false">
      <c r="C295" s="20"/>
      <c r="E295" s="18"/>
      <c r="F295" s="18"/>
    </row>
    <row r="296" customFormat="false" ht="15" hidden="false" customHeight="false" outlineLevel="0" collapsed="false">
      <c r="C296" s="20"/>
      <c r="E296" s="18"/>
      <c r="F296" s="18"/>
    </row>
    <row r="297" customFormat="false" ht="15" hidden="false" customHeight="false" outlineLevel="0" collapsed="false">
      <c r="C297" s="20"/>
      <c r="E297" s="18"/>
      <c r="F297" s="18"/>
    </row>
    <row r="298" customFormat="false" ht="15" hidden="false" customHeight="false" outlineLevel="0" collapsed="false">
      <c r="C298" s="20"/>
      <c r="E298" s="18"/>
      <c r="F298" s="18"/>
    </row>
    <row r="299" customFormat="false" ht="15" hidden="false" customHeight="false" outlineLevel="0" collapsed="false">
      <c r="C299" s="20"/>
      <c r="E299" s="18"/>
      <c r="F299" s="18"/>
    </row>
    <row r="300" customFormat="false" ht="15" hidden="false" customHeight="false" outlineLevel="0" collapsed="false">
      <c r="C300" s="20"/>
      <c r="E300" s="18"/>
      <c r="F300" s="18"/>
    </row>
    <row r="301" customFormat="false" ht="15" hidden="false" customHeight="false" outlineLevel="0" collapsed="false">
      <c r="C301" s="20"/>
      <c r="E301" s="18"/>
      <c r="F301" s="18"/>
    </row>
    <row r="302" customFormat="false" ht="15" hidden="false" customHeight="false" outlineLevel="0" collapsed="false">
      <c r="C302" s="20"/>
      <c r="E302" s="18"/>
      <c r="F302" s="18"/>
    </row>
    <row r="303" customFormat="false" ht="15" hidden="false" customHeight="false" outlineLevel="0" collapsed="false">
      <c r="C303" s="20"/>
      <c r="E303" s="18"/>
      <c r="F303" s="18"/>
    </row>
    <row r="304" customFormat="false" ht="15" hidden="false" customHeight="false" outlineLevel="0" collapsed="false">
      <c r="C304" s="20"/>
      <c r="E304" s="18"/>
      <c r="F304" s="18"/>
    </row>
    <row r="305" customFormat="false" ht="15" hidden="false" customHeight="false" outlineLevel="0" collapsed="false">
      <c r="C305" s="20"/>
      <c r="E305" s="18"/>
      <c r="F305" s="18"/>
    </row>
    <row r="306" customFormat="false" ht="15" hidden="false" customHeight="false" outlineLevel="0" collapsed="false">
      <c r="C306" s="20"/>
      <c r="E306" s="18"/>
      <c r="F306" s="18"/>
    </row>
    <row r="307" customFormat="false" ht="15" hidden="false" customHeight="false" outlineLevel="0" collapsed="false">
      <c r="C307" s="20"/>
      <c r="E307" s="18"/>
      <c r="F307" s="18"/>
    </row>
    <row r="308" customFormat="false" ht="15" hidden="false" customHeight="false" outlineLevel="0" collapsed="false">
      <c r="C308" s="20"/>
      <c r="E308" s="18"/>
      <c r="F308" s="18"/>
    </row>
    <row r="309" customFormat="false" ht="15" hidden="false" customHeight="false" outlineLevel="0" collapsed="false">
      <c r="C309" s="20"/>
      <c r="E309" s="18"/>
      <c r="F309" s="18"/>
    </row>
    <row r="310" customFormat="false" ht="15" hidden="false" customHeight="false" outlineLevel="0" collapsed="false">
      <c r="C310" s="20"/>
      <c r="E310" s="18"/>
      <c r="F310" s="18"/>
    </row>
    <row r="311" customFormat="false" ht="15" hidden="false" customHeight="false" outlineLevel="0" collapsed="false">
      <c r="C311" s="20"/>
      <c r="E311" s="18"/>
      <c r="F311" s="18"/>
    </row>
    <row r="312" customFormat="false" ht="15" hidden="false" customHeight="false" outlineLevel="0" collapsed="false">
      <c r="C312" s="20"/>
      <c r="E312" s="18"/>
      <c r="F312" s="18"/>
    </row>
    <row r="313" customFormat="false" ht="15" hidden="false" customHeight="false" outlineLevel="0" collapsed="false">
      <c r="C313" s="20"/>
      <c r="E313" s="18"/>
      <c r="F313" s="18"/>
    </row>
    <row r="314" customFormat="false" ht="15" hidden="false" customHeight="false" outlineLevel="0" collapsed="false">
      <c r="C314" s="20"/>
      <c r="E314" s="18"/>
      <c r="F314" s="18"/>
    </row>
    <row r="315" customFormat="false" ht="15" hidden="false" customHeight="false" outlineLevel="0" collapsed="false">
      <c r="C315" s="20"/>
      <c r="E315" s="18"/>
      <c r="F315" s="18"/>
    </row>
    <row r="316" customFormat="false" ht="15" hidden="false" customHeight="false" outlineLevel="0" collapsed="false">
      <c r="C316" s="20"/>
      <c r="E316" s="18"/>
      <c r="F316" s="18"/>
    </row>
    <row r="317" customFormat="false" ht="15" hidden="false" customHeight="false" outlineLevel="0" collapsed="false">
      <c r="C317" s="20"/>
      <c r="E317" s="18"/>
      <c r="F317" s="18"/>
    </row>
    <row r="318" customFormat="false" ht="15" hidden="false" customHeight="false" outlineLevel="0" collapsed="false">
      <c r="C318" s="20"/>
      <c r="E318" s="18"/>
      <c r="F318" s="18"/>
    </row>
    <row r="319" customFormat="false" ht="15" hidden="false" customHeight="false" outlineLevel="0" collapsed="false">
      <c r="C319" s="20"/>
      <c r="E319" s="18"/>
      <c r="F319" s="18"/>
    </row>
    <row r="320" customFormat="false" ht="15" hidden="false" customHeight="false" outlineLevel="0" collapsed="false">
      <c r="C320" s="20"/>
      <c r="E320" s="18"/>
      <c r="F320" s="18"/>
    </row>
    <row r="321" customFormat="false" ht="15" hidden="false" customHeight="false" outlineLevel="0" collapsed="false">
      <c r="C321" s="20"/>
      <c r="E321" s="18"/>
      <c r="F321" s="18"/>
    </row>
    <row r="322" customFormat="false" ht="15" hidden="false" customHeight="false" outlineLevel="0" collapsed="false">
      <c r="C322" s="20"/>
      <c r="E322" s="18"/>
      <c r="F322" s="18"/>
    </row>
    <row r="323" customFormat="false" ht="15" hidden="false" customHeight="false" outlineLevel="0" collapsed="false">
      <c r="C323" s="20"/>
      <c r="E323" s="18"/>
      <c r="F323" s="18"/>
    </row>
    <row r="324" customFormat="false" ht="15" hidden="false" customHeight="false" outlineLevel="0" collapsed="false">
      <c r="C324" s="20"/>
      <c r="E324" s="18"/>
      <c r="F324" s="18"/>
    </row>
    <row r="325" customFormat="false" ht="15" hidden="false" customHeight="false" outlineLevel="0" collapsed="false">
      <c r="C325" s="20"/>
      <c r="E325" s="18"/>
      <c r="F325" s="18"/>
    </row>
    <row r="326" customFormat="false" ht="15" hidden="false" customHeight="false" outlineLevel="0" collapsed="false">
      <c r="C326" s="20"/>
      <c r="E326" s="18"/>
      <c r="F326" s="18"/>
    </row>
    <row r="327" customFormat="false" ht="15" hidden="false" customHeight="false" outlineLevel="0" collapsed="false">
      <c r="C327" s="20"/>
      <c r="E327" s="18"/>
      <c r="F327" s="18"/>
    </row>
    <row r="328" customFormat="false" ht="15" hidden="false" customHeight="false" outlineLevel="0" collapsed="false">
      <c r="C328" s="20"/>
      <c r="E328" s="18"/>
      <c r="F328" s="18"/>
    </row>
    <row r="329" customFormat="false" ht="15" hidden="false" customHeight="false" outlineLevel="0" collapsed="false">
      <c r="C329" s="20"/>
      <c r="E329" s="18"/>
      <c r="F329" s="18"/>
    </row>
    <row r="330" customFormat="false" ht="15" hidden="false" customHeight="false" outlineLevel="0" collapsed="false">
      <c r="C330" s="20"/>
      <c r="E330" s="18"/>
      <c r="F330" s="18"/>
    </row>
    <row r="331" customFormat="false" ht="15" hidden="false" customHeight="false" outlineLevel="0" collapsed="false">
      <c r="C331" s="20"/>
      <c r="E331" s="18"/>
      <c r="F331" s="18"/>
    </row>
    <row r="332" customFormat="false" ht="15" hidden="false" customHeight="false" outlineLevel="0" collapsed="false">
      <c r="C332" s="20"/>
      <c r="E332" s="18"/>
      <c r="F332" s="18"/>
    </row>
    <row r="333" customFormat="false" ht="15" hidden="false" customHeight="false" outlineLevel="0" collapsed="false">
      <c r="C333" s="20"/>
      <c r="E333" s="18"/>
      <c r="F333" s="18"/>
    </row>
    <row r="334" customFormat="false" ht="15" hidden="false" customHeight="false" outlineLevel="0" collapsed="false">
      <c r="C334" s="20"/>
      <c r="E334" s="18"/>
      <c r="F334" s="18"/>
    </row>
    <row r="335" customFormat="false" ht="15" hidden="false" customHeight="false" outlineLevel="0" collapsed="false">
      <c r="C335" s="20"/>
      <c r="E335" s="18"/>
      <c r="F335" s="18"/>
    </row>
    <row r="336" customFormat="false" ht="15" hidden="false" customHeight="false" outlineLevel="0" collapsed="false">
      <c r="C336" s="20"/>
      <c r="E336" s="18"/>
      <c r="F336" s="18"/>
    </row>
    <row r="337" customFormat="false" ht="15" hidden="false" customHeight="false" outlineLevel="0" collapsed="false">
      <c r="C337" s="20"/>
      <c r="E337" s="18"/>
      <c r="F337" s="18"/>
    </row>
    <row r="338" customFormat="false" ht="15" hidden="false" customHeight="false" outlineLevel="0" collapsed="false">
      <c r="C338" s="20"/>
      <c r="E338" s="18"/>
      <c r="F338" s="18"/>
    </row>
    <row r="339" customFormat="false" ht="15" hidden="false" customHeight="false" outlineLevel="0" collapsed="false">
      <c r="C339" s="20"/>
      <c r="E339" s="18"/>
      <c r="F339" s="18"/>
    </row>
    <row r="340" customFormat="false" ht="15" hidden="false" customHeight="false" outlineLevel="0" collapsed="false">
      <c r="C340" s="20"/>
      <c r="E340" s="18"/>
      <c r="F340" s="18"/>
    </row>
    <row r="341" customFormat="false" ht="15" hidden="false" customHeight="false" outlineLevel="0" collapsed="false">
      <c r="C341" s="20"/>
      <c r="E341" s="18"/>
      <c r="F341" s="18"/>
    </row>
    <row r="342" customFormat="false" ht="15" hidden="false" customHeight="false" outlineLevel="0" collapsed="false">
      <c r="C342" s="20"/>
      <c r="E342" s="18"/>
      <c r="F342" s="18"/>
    </row>
    <row r="343" customFormat="false" ht="15" hidden="false" customHeight="false" outlineLevel="0" collapsed="false">
      <c r="C343" s="20"/>
      <c r="E343" s="18"/>
      <c r="F343" s="18"/>
    </row>
    <row r="344" customFormat="false" ht="15" hidden="false" customHeight="false" outlineLevel="0" collapsed="false">
      <c r="C344" s="20"/>
      <c r="E344" s="18"/>
      <c r="F344" s="18"/>
    </row>
    <row r="345" customFormat="false" ht="15" hidden="false" customHeight="false" outlineLevel="0" collapsed="false">
      <c r="C345" s="20"/>
      <c r="E345" s="18"/>
      <c r="F345" s="18"/>
    </row>
    <row r="346" customFormat="false" ht="15" hidden="false" customHeight="false" outlineLevel="0" collapsed="false">
      <c r="C346" s="20"/>
      <c r="E346" s="18"/>
      <c r="F346" s="18"/>
    </row>
    <row r="347" customFormat="false" ht="15" hidden="false" customHeight="false" outlineLevel="0" collapsed="false">
      <c r="C347" s="20"/>
      <c r="E347" s="18"/>
      <c r="F347" s="18"/>
    </row>
    <row r="348" customFormat="false" ht="15" hidden="false" customHeight="false" outlineLevel="0" collapsed="false">
      <c r="C348" s="20"/>
      <c r="E348" s="18"/>
      <c r="F348" s="18"/>
    </row>
    <row r="349" customFormat="false" ht="15" hidden="false" customHeight="false" outlineLevel="0" collapsed="false">
      <c r="C349" s="20"/>
      <c r="E349" s="18"/>
      <c r="F349" s="18"/>
    </row>
    <row r="350" customFormat="false" ht="15" hidden="false" customHeight="false" outlineLevel="0" collapsed="false">
      <c r="C350" s="20"/>
      <c r="E350" s="18"/>
      <c r="F350" s="18"/>
    </row>
    <row r="351" customFormat="false" ht="15" hidden="false" customHeight="false" outlineLevel="0" collapsed="false">
      <c r="C351" s="20"/>
      <c r="E351" s="18"/>
      <c r="F351" s="18"/>
    </row>
    <row r="352" customFormat="false" ht="15" hidden="false" customHeight="false" outlineLevel="0" collapsed="false">
      <c r="C352" s="20"/>
      <c r="E352" s="18"/>
      <c r="F352" s="18"/>
    </row>
    <row r="353" customFormat="false" ht="15" hidden="false" customHeight="false" outlineLevel="0" collapsed="false">
      <c r="C353" s="20"/>
      <c r="E353" s="18"/>
      <c r="F353" s="18"/>
    </row>
    <row r="354" customFormat="false" ht="15" hidden="false" customHeight="false" outlineLevel="0" collapsed="false">
      <c r="C354" s="20"/>
      <c r="E354" s="18"/>
      <c r="F354" s="18"/>
    </row>
    <row r="355" customFormat="false" ht="15" hidden="false" customHeight="false" outlineLevel="0" collapsed="false">
      <c r="C355" s="20"/>
      <c r="E355" s="18"/>
      <c r="F355" s="18"/>
    </row>
    <row r="356" customFormat="false" ht="15" hidden="false" customHeight="false" outlineLevel="0" collapsed="false">
      <c r="C356" s="20"/>
      <c r="E356" s="18"/>
      <c r="F356" s="18"/>
    </row>
    <row r="357" customFormat="false" ht="15" hidden="false" customHeight="false" outlineLevel="0" collapsed="false">
      <c r="C357" s="20"/>
      <c r="E357" s="18"/>
      <c r="F357" s="18"/>
    </row>
    <row r="358" customFormat="false" ht="15" hidden="false" customHeight="false" outlineLevel="0" collapsed="false">
      <c r="C358" s="20"/>
      <c r="E358" s="18"/>
      <c r="F358" s="18"/>
    </row>
    <row r="359" customFormat="false" ht="15" hidden="false" customHeight="false" outlineLevel="0" collapsed="false">
      <c r="C359" s="20"/>
      <c r="E359" s="18"/>
      <c r="F359" s="18"/>
    </row>
    <row r="360" customFormat="false" ht="15" hidden="false" customHeight="false" outlineLevel="0" collapsed="false">
      <c r="C360" s="20"/>
      <c r="E360" s="18"/>
      <c r="F360" s="18"/>
    </row>
    <row r="361" customFormat="false" ht="15" hidden="false" customHeight="false" outlineLevel="0" collapsed="false">
      <c r="C361" s="20"/>
      <c r="E361" s="18"/>
      <c r="F361" s="18"/>
    </row>
    <row r="362" customFormat="false" ht="15" hidden="false" customHeight="false" outlineLevel="0" collapsed="false">
      <c r="C362" s="20"/>
      <c r="E362" s="18"/>
      <c r="F362" s="18"/>
    </row>
    <row r="363" customFormat="false" ht="15" hidden="false" customHeight="false" outlineLevel="0" collapsed="false">
      <c r="C363" s="20"/>
      <c r="E363" s="18"/>
      <c r="F363" s="18"/>
    </row>
    <row r="364" customFormat="false" ht="15" hidden="false" customHeight="false" outlineLevel="0" collapsed="false">
      <c r="C364" s="20"/>
      <c r="E364" s="18"/>
      <c r="F364" s="18"/>
    </row>
    <row r="365" customFormat="false" ht="15" hidden="false" customHeight="false" outlineLevel="0" collapsed="false">
      <c r="C365" s="20"/>
      <c r="E365" s="18"/>
      <c r="F365" s="18"/>
    </row>
    <row r="366" customFormat="false" ht="15" hidden="false" customHeight="false" outlineLevel="0" collapsed="false">
      <c r="C366" s="20"/>
      <c r="E366" s="18"/>
      <c r="F366" s="18"/>
    </row>
    <row r="367" customFormat="false" ht="15" hidden="false" customHeight="false" outlineLevel="0" collapsed="false">
      <c r="C367" s="20"/>
      <c r="E367" s="18"/>
      <c r="F367" s="18"/>
    </row>
    <row r="368" customFormat="false" ht="15" hidden="false" customHeight="false" outlineLevel="0" collapsed="false">
      <c r="C368" s="20"/>
      <c r="E368" s="18"/>
      <c r="F368" s="18"/>
    </row>
    <row r="369" customFormat="false" ht="15" hidden="false" customHeight="false" outlineLevel="0" collapsed="false">
      <c r="C369" s="20"/>
      <c r="E369" s="18"/>
      <c r="F369" s="18"/>
    </row>
    <row r="370" customFormat="false" ht="15" hidden="false" customHeight="false" outlineLevel="0" collapsed="false">
      <c r="C370" s="20"/>
      <c r="E370" s="18"/>
      <c r="F370" s="18"/>
    </row>
    <row r="371" customFormat="false" ht="15" hidden="false" customHeight="false" outlineLevel="0" collapsed="false">
      <c r="C371" s="20"/>
      <c r="E371" s="18"/>
      <c r="F371" s="18"/>
    </row>
    <row r="372" customFormat="false" ht="15" hidden="false" customHeight="false" outlineLevel="0" collapsed="false">
      <c r="C372" s="20"/>
      <c r="E372" s="18"/>
      <c r="F372" s="18"/>
    </row>
    <row r="373" customFormat="false" ht="15" hidden="false" customHeight="false" outlineLevel="0" collapsed="false">
      <c r="C373" s="20"/>
      <c r="E373" s="18"/>
      <c r="F373" s="18"/>
    </row>
    <row r="374" customFormat="false" ht="15" hidden="false" customHeight="false" outlineLevel="0" collapsed="false">
      <c r="C374" s="20"/>
      <c r="E374" s="18"/>
      <c r="F374" s="18"/>
    </row>
    <row r="375" customFormat="false" ht="15" hidden="false" customHeight="false" outlineLevel="0" collapsed="false">
      <c r="C375" s="20"/>
      <c r="E375" s="18"/>
      <c r="F375" s="18"/>
    </row>
    <row r="376" customFormat="false" ht="15" hidden="false" customHeight="false" outlineLevel="0" collapsed="false">
      <c r="C376" s="20"/>
      <c r="E376" s="18"/>
      <c r="F376" s="18"/>
    </row>
    <row r="377" customFormat="false" ht="15" hidden="false" customHeight="false" outlineLevel="0" collapsed="false">
      <c r="C377" s="20"/>
      <c r="E377" s="18"/>
      <c r="F377" s="18"/>
    </row>
    <row r="378" customFormat="false" ht="15" hidden="false" customHeight="false" outlineLevel="0" collapsed="false">
      <c r="C378" s="20"/>
      <c r="E378" s="18"/>
      <c r="F378" s="18"/>
    </row>
    <row r="379" customFormat="false" ht="15" hidden="false" customHeight="false" outlineLevel="0" collapsed="false">
      <c r="C379" s="20"/>
      <c r="E379" s="18"/>
      <c r="F379" s="18"/>
    </row>
    <row r="380" customFormat="false" ht="15" hidden="false" customHeight="false" outlineLevel="0" collapsed="false">
      <c r="C380" s="20"/>
      <c r="E380" s="18"/>
      <c r="F380" s="18"/>
    </row>
    <row r="381" customFormat="false" ht="15" hidden="false" customHeight="false" outlineLevel="0" collapsed="false">
      <c r="C381" s="20"/>
      <c r="E381" s="18"/>
      <c r="F381" s="18"/>
    </row>
    <row r="382" customFormat="false" ht="15" hidden="false" customHeight="false" outlineLevel="0" collapsed="false">
      <c r="C382" s="20"/>
      <c r="E382" s="18"/>
      <c r="F382" s="18"/>
    </row>
    <row r="383" customFormat="false" ht="15" hidden="false" customHeight="false" outlineLevel="0" collapsed="false">
      <c r="C383" s="20"/>
      <c r="E383" s="18"/>
      <c r="F383" s="18"/>
    </row>
    <row r="384" customFormat="false" ht="15" hidden="false" customHeight="false" outlineLevel="0" collapsed="false">
      <c r="C384" s="20"/>
      <c r="E384" s="18"/>
      <c r="F384" s="18"/>
    </row>
    <row r="385" customFormat="false" ht="15" hidden="false" customHeight="false" outlineLevel="0" collapsed="false">
      <c r="C385" s="20"/>
      <c r="E385" s="18"/>
      <c r="F385" s="18"/>
    </row>
    <row r="386" customFormat="false" ht="15" hidden="false" customHeight="false" outlineLevel="0" collapsed="false">
      <c r="C386" s="20"/>
      <c r="E386" s="18"/>
      <c r="F386" s="18"/>
    </row>
    <row r="387" customFormat="false" ht="15" hidden="false" customHeight="false" outlineLevel="0" collapsed="false">
      <c r="C387" s="20"/>
      <c r="E387" s="18"/>
      <c r="F387" s="18"/>
    </row>
    <row r="388" customFormat="false" ht="15" hidden="false" customHeight="false" outlineLevel="0" collapsed="false">
      <c r="C388" s="20"/>
      <c r="E388" s="18"/>
      <c r="F388" s="18"/>
    </row>
    <row r="389" customFormat="false" ht="15" hidden="false" customHeight="false" outlineLevel="0" collapsed="false">
      <c r="C389" s="20"/>
      <c r="E389" s="18"/>
      <c r="F389" s="18"/>
    </row>
    <row r="390" customFormat="false" ht="15" hidden="false" customHeight="false" outlineLevel="0" collapsed="false">
      <c r="C390" s="20"/>
      <c r="E390" s="18"/>
      <c r="F390" s="18"/>
    </row>
    <row r="391" customFormat="false" ht="15" hidden="false" customHeight="false" outlineLevel="0" collapsed="false">
      <c r="C391" s="20"/>
      <c r="E391" s="18"/>
      <c r="F391" s="18"/>
    </row>
    <row r="392" customFormat="false" ht="15" hidden="false" customHeight="false" outlineLevel="0" collapsed="false">
      <c r="C392" s="20"/>
      <c r="E392" s="18"/>
      <c r="F392" s="18"/>
    </row>
    <row r="393" customFormat="false" ht="15" hidden="false" customHeight="false" outlineLevel="0" collapsed="false">
      <c r="C393" s="20"/>
      <c r="E393" s="18"/>
      <c r="F393" s="18"/>
    </row>
    <row r="394" customFormat="false" ht="15" hidden="false" customHeight="false" outlineLevel="0" collapsed="false">
      <c r="C394" s="20"/>
      <c r="E394" s="18"/>
      <c r="F394" s="18"/>
    </row>
    <row r="395" customFormat="false" ht="15" hidden="false" customHeight="false" outlineLevel="0" collapsed="false">
      <c r="C395" s="20"/>
      <c r="E395" s="18"/>
      <c r="F395" s="18"/>
    </row>
    <row r="396" customFormat="false" ht="15" hidden="false" customHeight="false" outlineLevel="0" collapsed="false">
      <c r="C396" s="20"/>
      <c r="E396" s="18"/>
      <c r="F396" s="18"/>
    </row>
    <row r="397" customFormat="false" ht="15" hidden="false" customHeight="false" outlineLevel="0" collapsed="false">
      <c r="C397" s="20"/>
      <c r="E397" s="18"/>
      <c r="F397" s="18"/>
    </row>
    <row r="398" customFormat="false" ht="15" hidden="false" customHeight="false" outlineLevel="0" collapsed="false">
      <c r="C398" s="20"/>
      <c r="E398" s="18"/>
      <c r="F398" s="18"/>
    </row>
    <row r="399" customFormat="false" ht="15" hidden="false" customHeight="false" outlineLevel="0" collapsed="false">
      <c r="C399" s="20"/>
      <c r="E399" s="18"/>
      <c r="F399" s="18"/>
    </row>
    <row r="400" customFormat="false" ht="15" hidden="false" customHeight="false" outlineLevel="0" collapsed="false">
      <c r="C400" s="20"/>
      <c r="E400" s="18"/>
      <c r="F400" s="18"/>
    </row>
    <row r="401" customFormat="false" ht="15" hidden="false" customHeight="false" outlineLevel="0" collapsed="false">
      <c r="C401" s="20"/>
      <c r="E401" s="18"/>
      <c r="F401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9"/>
  </cols>
  <sheetData>
    <row r="1" customFormat="false" ht="19.5" hidden="false" customHeight="true" outlineLevel="0" collapsed="false">
      <c r="A1" s="10" t="s">
        <v>62</v>
      </c>
      <c r="B1" s="10" t="s">
        <v>43</v>
      </c>
      <c r="C1" s="10" t="s">
        <v>24</v>
      </c>
      <c r="D1" s="10" t="s">
        <v>63</v>
      </c>
      <c r="E1" s="10" t="s">
        <v>64</v>
      </c>
    </row>
    <row r="2" customFormat="false" ht="15" hidden="false" customHeight="false" outlineLevel="0" collapsed="false">
      <c r="A2" s="2"/>
      <c r="B2" s="12"/>
      <c r="C2" s="2"/>
      <c r="D2" s="2"/>
      <c r="E2" s="2"/>
    </row>
    <row r="3" customFormat="false" ht="15" hidden="false" customHeight="false" outlineLevel="0" collapsed="false">
      <c r="A3" s="2"/>
      <c r="B3" s="12"/>
      <c r="C3" s="2"/>
      <c r="D3" s="2"/>
      <c r="E3" s="2"/>
    </row>
    <row r="4" customFormat="false" ht="15" hidden="false" customHeight="false" outlineLevel="0" collapsed="false">
      <c r="A4" s="2"/>
      <c r="B4" s="12"/>
      <c r="C4" s="2"/>
      <c r="D4" s="2"/>
      <c r="E4" s="2"/>
    </row>
    <row r="5" customFormat="false" ht="15" hidden="false" customHeight="false" outlineLevel="0" collapsed="false">
      <c r="A5" s="2"/>
      <c r="B5" s="12"/>
      <c r="C5" s="2"/>
      <c r="D5" s="2"/>
      <c r="E5" s="2"/>
    </row>
    <row r="6" customFormat="false" ht="15" hidden="false" customHeight="false" outlineLevel="0" collapsed="false">
      <c r="A6" s="2"/>
      <c r="B6" s="12"/>
      <c r="C6" s="2"/>
      <c r="D6" s="2"/>
      <c r="E6" s="2"/>
    </row>
    <row r="7" customFormat="false" ht="15" hidden="false" customHeight="false" outlineLevel="0" collapsed="false">
      <c r="A7" s="2"/>
      <c r="B7" s="12"/>
      <c r="C7" s="2"/>
      <c r="D7" s="2"/>
      <c r="E7" s="2"/>
    </row>
    <row r="8" customFormat="false" ht="15" hidden="false" customHeight="false" outlineLevel="0" collapsed="false">
      <c r="A8" s="2"/>
      <c r="B8" s="12"/>
      <c r="C8" s="2"/>
      <c r="D8" s="2"/>
      <c r="E8" s="2"/>
    </row>
    <row r="9" customFormat="false" ht="15" hidden="false" customHeight="false" outlineLevel="0" collapsed="false">
      <c r="A9" s="2"/>
      <c r="B9" s="12"/>
      <c r="C9" s="2"/>
      <c r="D9" s="2"/>
      <c r="E9" s="2"/>
    </row>
    <row r="10" customFormat="false" ht="15" hidden="false" customHeight="false" outlineLevel="0" collapsed="false">
      <c r="A10" s="2"/>
      <c r="B10" s="12"/>
      <c r="C10" s="2"/>
      <c r="D10" s="2"/>
      <c r="E10" s="2"/>
    </row>
    <row r="11" customFormat="false" ht="15" hidden="false" customHeight="false" outlineLevel="0" collapsed="false">
      <c r="A11" s="2"/>
      <c r="B11" s="12"/>
      <c r="C11" s="2"/>
      <c r="D11" s="2"/>
      <c r="E11" s="2"/>
    </row>
    <row r="12" customFormat="false" ht="15" hidden="false" customHeight="false" outlineLevel="0" collapsed="false">
      <c r="A12" s="2"/>
      <c r="B12" s="12"/>
      <c r="C12" s="2"/>
      <c r="D12" s="2"/>
      <c r="E12" s="2"/>
    </row>
    <row r="13" customFormat="false" ht="15" hidden="false" customHeight="false" outlineLevel="0" collapsed="false">
      <c r="A13" s="2"/>
      <c r="B13" s="12"/>
      <c r="C13" s="2"/>
      <c r="D13" s="2"/>
      <c r="E13" s="2"/>
    </row>
    <row r="14" customFormat="false" ht="15" hidden="false" customHeight="false" outlineLevel="0" collapsed="false">
      <c r="A14" s="2"/>
      <c r="B14" s="12"/>
      <c r="C14" s="2"/>
      <c r="D14" s="2"/>
      <c r="E14" s="2"/>
    </row>
    <row r="15" customFormat="false" ht="15" hidden="false" customHeight="false" outlineLevel="0" collapsed="false">
      <c r="A15" s="2"/>
      <c r="B15" s="12"/>
      <c r="C15" s="2"/>
      <c r="D15" s="2"/>
      <c r="E15" s="2"/>
    </row>
    <row r="16" customFormat="false" ht="15" hidden="false" customHeight="false" outlineLevel="0" collapsed="false">
      <c r="A16" s="2"/>
      <c r="B16" s="12"/>
      <c r="C16" s="2"/>
      <c r="D16" s="2"/>
      <c r="E16" s="2"/>
    </row>
    <row r="17" customFormat="false" ht="15" hidden="false" customHeight="false" outlineLevel="0" collapsed="false">
      <c r="A17" s="2"/>
      <c r="B17" s="12"/>
      <c r="C17" s="2"/>
      <c r="D17" s="2"/>
      <c r="E17" s="2"/>
    </row>
    <row r="18" customFormat="false" ht="15" hidden="false" customHeight="false" outlineLevel="0" collapsed="false">
      <c r="A18" s="2"/>
      <c r="B18" s="12"/>
      <c r="C18" s="2"/>
      <c r="D18" s="2"/>
      <c r="E18" s="2"/>
    </row>
    <row r="19" customFormat="false" ht="15" hidden="false" customHeight="false" outlineLevel="0" collapsed="false">
      <c r="A19" s="2"/>
      <c r="B19" s="12"/>
      <c r="C19" s="2"/>
      <c r="D19" s="2"/>
      <c r="E19" s="2"/>
    </row>
    <row r="20" customFormat="false" ht="15" hidden="false" customHeight="false" outlineLevel="0" collapsed="false">
      <c r="A20" s="2"/>
      <c r="B20" s="12"/>
      <c r="C20" s="2"/>
      <c r="D20" s="2"/>
      <c r="E20" s="2"/>
    </row>
    <row r="21" customFormat="false" ht="15" hidden="false" customHeight="false" outlineLevel="0" collapsed="false">
      <c r="B21" s="19"/>
    </row>
    <row r="22" customFormat="false" ht="15" hidden="false" customHeight="false" outlineLevel="0" collapsed="false">
      <c r="B22" s="19"/>
    </row>
    <row r="23" customFormat="false" ht="15" hidden="false" customHeight="false" outlineLevel="0" collapsed="false">
      <c r="B23" s="19"/>
    </row>
    <row r="24" customFormat="false" ht="15" hidden="false" customHeight="false" outlineLevel="0" collapsed="false">
      <c r="B24" s="19"/>
    </row>
    <row r="25" customFormat="false" ht="15" hidden="false" customHeight="false" outlineLevel="0" collapsed="false">
      <c r="B25" s="19"/>
    </row>
    <row r="26" customFormat="false" ht="15" hidden="false" customHeight="false" outlineLevel="0" collapsed="false">
      <c r="B26" s="19"/>
    </row>
    <row r="27" customFormat="false" ht="15" hidden="false" customHeight="false" outlineLevel="0" collapsed="false">
      <c r="B27" s="19"/>
    </row>
    <row r="28" customFormat="false" ht="15" hidden="false" customHeight="false" outlineLevel="0" collapsed="false">
      <c r="B28" s="19"/>
    </row>
    <row r="29" customFormat="false" ht="15" hidden="false" customHeight="false" outlineLevel="0" collapsed="false">
      <c r="B29" s="19"/>
    </row>
    <row r="30" customFormat="false" ht="15" hidden="false" customHeight="false" outlineLevel="0" collapsed="false">
      <c r="B30" s="19"/>
    </row>
    <row r="31" customFormat="false" ht="15" hidden="false" customHeight="false" outlineLevel="0" collapsed="false">
      <c r="B31" s="19"/>
    </row>
    <row r="32" customFormat="false" ht="15" hidden="false" customHeight="false" outlineLevel="0" collapsed="false">
      <c r="B32" s="19"/>
    </row>
    <row r="33" customFormat="false" ht="15" hidden="false" customHeight="false" outlineLevel="0" collapsed="false">
      <c r="B33" s="19"/>
    </row>
    <row r="34" customFormat="false" ht="15" hidden="false" customHeight="false" outlineLevel="0" collapsed="false">
      <c r="B34" s="19"/>
    </row>
    <row r="35" customFormat="false" ht="15" hidden="false" customHeight="false" outlineLevel="0" collapsed="false">
      <c r="B35" s="19"/>
    </row>
    <row r="36" customFormat="false" ht="15" hidden="false" customHeight="false" outlineLevel="0" collapsed="false">
      <c r="B36" s="19"/>
    </row>
    <row r="37" customFormat="false" ht="15" hidden="false" customHeight="false" outlineLevel="0" collapsed="false">
      <c r="B37" s="19"/>
    </row>
    <row r="38" customFormat="false" ht="15" hidden="false" customHeight="false" outlineLevel="0" collapsed="false">
      <c r="B38" s="19"/>
    </row>
    <row r="39" customFormat="false" ht="15" hidden="false" customHeight="false" outlineLevel="0" collapsed="false">
      <c r="B39" s="19"/>
    </row>
    <row r="40" customFormat="false" ht="15" hidden="false" customHeight="false" outlineLevel="0" collapsed="false">
      <c r="B40" s="19"/>
    </row>
    <row r="41" customFormat="false" ht="15" hidden="false" customHeight="false" outlineLevel="0" collapsed="false">
      <c r="B41" s="19"/>
    </row>
    <row r="42" customFormat="false" ht="15" hidden="false" customHeight="false" outlineLevel="0" collapsed="false">
      <c r="B42" s="19"/>
    </row>
    <row r="43" customFormat="false" ht="15" hidden="false" customHeight="false" outlineLevel="0" collapsed="false">
      <c r="B43" s="19"/>
    </row>
    <row r="44" customFormat="false" ht="15" hidden="false" customHeight="false" outlineLevel="0" collapsed="false">
      <c r="B44" s="19"/>
    </row>
    <row r="45" customFormat="false" ht="15" hidden="false" customHeight="false" outlineLevel="0" collapsed="false">
      <c r="B45" s="19"/>
    </row>
    <row r="46" customFormat="false" ht="15" hidden="false" customHeight="false" outlineLevel="0" collapsed="false">
      <c r="B46" s="19"/>
    </row>
    <row r="47" customFormat="false" ht="15" hidden="false" customHeight="false" outlineLevel="0" collapsed="false">
      <c r="B47" s="19"/>
    </row>
    <row r="48" customFormat="false" ht="15" hidden="false" customHeight="false" outlineLevel="0" collapsed="false">
      <c r="B48" s="19"/>
    </row>
    <row r="49" customFormat="false" ht="15" hidden="false" customHeight="false" outlineLevel="0" collapsed="false">
      <c r="B49" s="19"/>
    </row>
    <row r="50" customFormat="false" ht="15" hidden="false" customHeight="false" outlineLevel="0" collapsed="false">
      <c r="B50" s="19"/>
    </row>
    <row r="51" customFormat="false" ht="15" hidden="false" customHeight="false" outlineLevel="0" collapsed="false">
      <c r="B51" s="19"/>
    </row>
    <row r="52" customFormat="false" ht="15" hidden="false" customHeight="false" outlineLevel="0" collapsed="false">
      <c r="B52" s="19"/>
    </row>
    <row r="53" customFormat="false" ht="15" hidden="false" customHeight="false" outlineLevel="0" collapsed="false">
      <c r="B53" s="19"/>
    </row>
    <row r="54" customFormat="false" ht="15" hidden="false" customHeight="false" outlineLevel="0" collapsed="false">
      <c r="B54" s="19"/>
    </row>
    <row r="55" customFormat="false" ht="15" hidden="false" customHeight="false" outlineLevel="0" collapsed="false">
      <c r="B55" s="19"/>
    </row>
    <row r="56" customFormat="false" ht="15" hidden="false" customHeight="false" outlineLevel="0" collapsed="false">
      <c r="B56" s="19"/>
    </row>
    <row r="57" customFormat="false" ht="15" hidden="false" customHeight="false" outlineLevel="0" collapsed="false">
      <c r="B57" s="19"/>
    </row>
    <row r="58" customFormat="false" ht="15" hidden="false" customHeight="false" outlineLevel="0" collapsed="false">
      <c r="B58" s="19"/>
    </row>
    <row r="59" customFormat="false" ht="15" hidden="false" customHeight="false" outlineLevel="0" collapsed="false">
      <c r="B59" s="19"/>
    </row>
    <row r="60" customFormat="false" ht="15" hidden="false" customHeight="false" outlineLevel="0" collapsed="false">
      <c r="B60" s="19"/>
    </row>
    <row r="61" customFormat="false" ht="15" hidden="false" customHeight="false" outlineLevel="0" collapsed="false">
      <c r="B61" s="19"/>
    </row>
    <row r="62" customFormat="false" ht="15" hidden="false" customHeight="false" outlineLevel="0" collapsed="false">
      <c r="B62" s="19"/>
    </row>
    <row r="63" customFormat="false" ht="15" hidden="false" customHeight="false" outlineLevel="0" collapsed="false">
      <c r="B63" s="19"/>
    </row>
    <row r="64" customFormat="false" ht="15" hidden="false" customHeight="false" outlineLevel="0" collapsed="false">
      <c r="B64" s="19"/>
    </row>
    <row r="65" customFormat="false" ht="15" hidden="false" customHeight="false" outlineLevel="0" collapsed="false">
      <c r="B65" s="19"/>
    </row>
    <row r="66" customFormat="false" ht="15" hidden="false" customHeight="false" outlineLevel="0" collapsed="false">
      <c r="B66" s="19"/>
    </row>
    <row r="67" customFormat="false" ht="15" hidden="false" customHeight="false" outlineLevel="0" collapsed="false">
      <c r="B67" s="19"/>
    </row>
    <row r="68" customFormat="false" ht="15" hidden="false" customHeight="false" outlineLevel="0" collapsed="false">
      <c r="B68" s="19"/>
    </row>
    <row r="69" customFormat="false" ht="15" hidden="false" customHeight="false" outlineLevel="0" collapsed="false">
      <c r="B69" s="19"/>
    </row>
    <row r="70" customFormat="false" ht="15" hidden="false" customHeight="false" outlineLevel="0" collapsed="false">
      <c r="B70" s="19"/>
    </row>
    <row r="71" customFormat="false" ht="15" hidden="false" customHeight="false" outlineLevel="0" collapsed="false">
      <c r="B71" s="19"/>
    </row>
    <row r="72" customFormat="false" ht="15" hidden="false" customHeight="false" outlineLevel="0" collapsed="false">
      <c r="B72" s="19"/>
    </row>
    <row r="73" customFormat="false" ht="15" hidden="false" customHeight="false" outlineLevel="0" collapsed="false">
      <c r="B73" s="19"/>
    </row>
    <row r="74" customFormat="false" ht="15" hidden="false" customHeight="false" outlineLevel="0" collapsed="false">
      <c r="B74" s="19"/>
    </row>
    <row r="75" customFormat="false" ht="15" hidden="false" customHeight="false" outlineLevel="0" collapsed="false">
      <c r="B75" s="19"/>
    </row>
    <row r="76" customFormat="false" ht="15" hidden="false" customHeight="false" outlineLevel="0" collapsed="false">
      <c r="B76" s="19"/>
    </row>
    <row r="77" customFormat="false" ht="15" hidden="false" customHeight="false" outlineLevel="0" collapsed="false">
      <c r="B77" s="19"/>
    </row>
    <row r="78" customFormat="false" ht="15" hidden="false" customHeight="false" outlineLevel="0" collapsed="false">
      <c r="B78" s="19"/>
    </row>
    <row r="79" customFormat="false" ht="15" hidden="false" customHeight="false" outlineLevel="0" collapsed="false">
      <c r="B79" s="19"/>
    </row>
    <row r="80" customFormat="false" ht="15" hidden="false" customHeight="false" outlineLevel="0" collapsed="false">
      <c r="B80" s="19"/>
    </row>
    <row r="81" customFormat="false" ht="15" hidden="false" customHeight="false" outlineLevel="0" collapsed="false">
      <c r="B81" s="19"/>
    </row>
    <row r="82" customFormat="false" ht="15" hidden="false" customHeight="false" outlineLevel="0" collapsed="false">
      <c r="B82" s="19"/>
    </row>
    <row r="83" customFormat="false" ht="15" hidden="false" customHeight="false" outlineLevel="0" collapsed="false">
      <c r="B83" s="19"/>
    </row>
    <row r="84" customFormat="false" ht="15" hidden="false" customHeight="false" outlineLevel="0" collapsed="false">
      <c r="B84" s="19"/>
    </row>
    <row r="85" customFormat="false" ht="15" hidden="false" customHeight="false" outlineLevel="0" collapsed="false">
      <c r="B85" s="19"/>
    </row>
    <row r="86" customFormat="false" ht="15" hidden="false" customHeight="false" outlineLevel="0" collapsed="false">
      <c r="B86" s="19"/>
    </row>
    <row r="87" customFormat="false" ht="15" hidden="false" customHeight="false" outlineLevel="0" collapsed="false">
      <c r="B87" s="19"/>
    </row>
    <row r="88" customFormat="false" ht="15" hidden="false" customHeight="false" outlineLevel="0" collapsed="false">
      <c r="B88" s="19"/>
    </row>
    <row r="89" customFormat="false" ht="15" hidden="false" customHeight="false" outlineLevel="0" collapsed="false">
      <c r="B89" s="19"/>
    </row>
    <row r="90" customFormat="false" ht="15" hidden="false" customHeight="false" outlineLevel="0" collapsed="false">
      <c r="B90" s="19"/>
    </row>
    <row r="91" customFormat="false" ht="15" hidden="false" customHeight="false" outlineLevel="0" collapsed="false">
      <c r="B91" s="19"/>
    </row>
    <row r="92" customFormat="false" ht="15" hidden="false" customHeight="false" outlineLevel="0" collapsed="false">
      <c r="B92" s="19"/>
    </row>
    <row r="93" customFormat="false" ht="15" hidden="false" customHeight="false" outlineLevel="0" collapsed="false">
      <c r="B93" s="19"/>
    </row>
    <row r="94" customFormat="false" ht="15" hidden="false" customHeight="false" outlineLevel="0" collapsed="false">
      <c r="B94" s="19"/>
    </row>
    <row r="95" customFormat="false" ht="15" hidden="false" customHeight="false" outlineLevel="0" collapsed="false">
      <c r="B95" s="19"/>
    </row>
    <row r="96" customFormat="false" ht="15" hidden="false" customHeight="false" outlineLevel="0" collapsed="false">
      <c r="B96" s="19"/>
    </row>
    <row r="97" customFormat="false" ht="15" hidden="false" customHeight="false" outlineLevel="0" collapsed="false">
      <c r="B97" s="19"/>
    </row>
    <row r="98" customFormat="false" ht="15" hidden="false" customHeight="false" outlineLevel="0" collapsed="false">
      <c r="B98" s="19"/>
    </row>
    <row r="99" customFormat="false" ht="15" hidden="false" customHeight="false" outlineLevel="0" collapsed="false">
      <c r="B99" s="19"/>
    </row>
    <row r="100" customFormat="false" ht="15" hidden="false" customHeight="false" outlineLevel="0" collapsed="false">
      <c r="B100" s="19"/>
    </row>
    <row r="101" customFormat="false" ht="15" hidden="false" customHeight="false" outlineLevel="0" collapsed="false">
      <c r="B101" s="19"/>
    </row>
    <row r="102" customFormat="false" ht="15" hidden="false" customHeight="false" outlineLevel="0" collapsed="false">
      <c r="B102" s="19"/>
    </row>
    <row r="103" customFormat="false" ht="15" hidden="false" customHeight="false" outlineLevel="0" collapsed="false">
      <c r="B103" s="19"/>
    </row>
    <row r="104" customFormat="false" ht="15" hidden="false" customHeight="false" outlineLevel="0" collapsed="false">
      <c r="B104" s="19"/>
    </row>
    <row r="105" customFormat="false" ht="15" hidden="false" customHeight="false" outlineLevel="0" collapsed="false">
      <c r="B105" s="19"/>
    </row>
    <row r="106" customFormat="false" ht="15" hidden="false" customHeight="false" outlineLevel="0" collapsed="false">
      <c r="B106" s="19"/>
    </row>
    <row r="107" customFormat="false" ht="15" hidden="false" customHeight="false" outlineLevel="0" collapsed="false">
      <c r="B107" s="19"/>
    </row>
    <row r="108" customFormat="false" ht="15" hidden="false" customHeight="false" outlineLevel="0" collapsed="false">
      <c r="B108" s="19"/>
    </row>
    <row r="109" customFormat="false" ht="15" hidden="false" customHeight="false" outlineLevel="0" collapsed="false">
      <c r="B109" s="19"/>
    </row>
    <row r="110" customFormat="false" ht="15" hidden="false" customHeight="false" outlineLevel="0" collapsed="false">
      <c r="B110" s="19"/>
    </row>
    <row r="111" customFormat="false" ht="15" hidden="false" customHeight="false" outlineLevel="0" collapsed="false">
      <c r="B111" s="19"/>
    </row>
    <row r="112" customFormat="false" ht="15" hidden="false" customHeight="false" outlineLevel="0" collapsed="false">
      <c r="B112" s="19"/>
    </row>
    <row r="113" customFormat="false" ht="15" hidden="false" customHeight="false" outlineLevel="0" collapsed="false">
      <c r="B113" s="19"/>
    </row>
    <row r="114" customFormat="false" ht="15" hidden="false" customHeight="false" outlineLevel="0" collapsed="false">
      <c r="B114" s="19"/>
    </row>
    <row r="115" customFormat="false" ht="15" hidden="false" customHeight="false" outlineLevel="0" collapsed="false">
      <c r="B115" s="19"/>
    </row>
    <row r="116" customFormat="false" ht="15" hidden="false" customHeight="false" outlineLevel="0" collapsed="false">
      <c r="B116" s="19"/>
    </row>
    <row r="117" customFormat="false" ht="15" hidden="false" customHeight="false" outlineLevel="0" collapsed="false">
      <c r="B117" s="19"/>
    </row>
    <row r="118" customFormat="false" ht="15" hidden="false" customHeight="false" outlineLevel="0" collapsed="false">
      <c r="B118" s="19"/>
    </row>
    <row r="119" customFormat="false" ht="15" hidden="false" customHeight="false" outlineLevel="0" collapsed="false">
      <c r="B119" s="19"/>
    </row>
    <row r="120" customFormat="false" ht="15" hidden="false" customHeight="false" outlineLevel="0" collapsed="false">
      <c r="B120" s="19"/>
    </row>
    <row r="121" customFormat="false" ht="15" hidden="false" customHeight="false" outlineLevel="0" collapsed="false">
      <c r="B121" s="19"/>
    </row>
    <row r="122" customFormat="false" ht="15" hidden="false" customHeight="false" outlineLevel="0" collapsed="false">
      <c r="B122" s="19"/>
    </row>
    <row r="123" customFormat="false" ht="15" hidden="false" customHeight="false" outlineLevel="0" collapsed="false">
      <c r="B123" s="19"/>
    </row>
    <row r="124" customFormat="false" ht="15" hidden="false" customHeight="false" outlineLevel="0" collapsed="false">
      <c r="B124" s="19"/>
    </row>
    <row r="125" customFormat="false" ht="15" hidden="false" customHeight="false" outlineLevel="0" collapsed="false">
      <c r="B125" s="19"/>
    </row>
    <row r="126" customFormat="false" ht="15" hidden="false" customHeight="false" outlineLevel="0" collapsed="false">
      <c r="B126" s="19"/>
    </row>
    <row r="127" customFormat="false" ht="15" hidden="false" customHeight="false" outlineLevel="0" collapsed="false">
      <c r="B127" s="19"/>
    </row>
    <row r="128" customFormat="false" ht="15" hidden="false" customHeight="false" outlineLevel="0" collapsed="false">
      <c r="B128" s="19"/>
    </row>
    <row r="129" customFormat="false" ht="15" hidden="false" customHeight="false" outlineLevel="0" collapsed="false">
      <c r="B129" s="19"/>
    </row>
    <row r="130" customFormat="false" ht="15" hidden="false" customHeight="false" outlineLevel="0" collapsed="false">
      <c r="B130" s="19"/>
    </row>
    <row r="131" customFormat="false" ht="15" hidden="false" customHeight="false" outlineLevel="0" collapsed="false">
      <c r="B131" s="19"/>
    </row>
    <row r="132" customFormat="false" ht="15" hidden="false" customHeight="false" outlineLevel="0" collapsed="false">
      <c r="B132" s="19"/>
    </row>
    <row r="133" customFormat="false" ht="15" hidden="false" customHeight="false" outlineLevel="0" collapsed="false">
      <c r="B133" s="19"/>
    </row>
    <row r="134" customFormat="false" ht="15" hidden="false" customHeight="false" outlineLevel="0" collapsed="false">
      <c r="B134" s="19"/>
    </row>
    <row r="135" customFormat="false" ht="15" hidden="false" customHeight="false" outlineLevel="0" collapsed="false">
      <c r="B135" s="19"/>
    </row>
    <row r="136" customFormat="false" ht="15" hidden="false" customHeight="false" outlineLevel="0" collapsed="false">
      <c r="B136" s="19"/>
    </row>
    <row r="137" customFormat="false" ht="15" hidden="false" customHeight="false" outlineLevel="0" collapsed="false">
      <c r="B137" s="19"/>
    </row>
    <row r="138" customFormat="false" ht="15" hidden="false" customHeight="false" outlineLevel="0" collapsed="false">
      <c r="B138" s="19"/>
    </row>
    <row r="139" customFormat="false" ht="15" hidden="false" customHeight="false" outlineLevel="0" collapsed="false">
      <c r="B139" s="19"/>
    </row>
    <row r="140" customFormat="false" ht="15" hidden="false" customHeight="false" outlineLevel="0" collapsed="false">
      <c r="B140" s="19"/>
    </row>
    <row r="141" customFormat="false" ht="15" hidden="false" customHeight="false" outlineLevel="0" collapsed="false">
      <c r="B141" s="19"/>
    </row>
    <row r="142" customFormat="false" ht="15" hidden="false" customHeight="false" outlineLevel="0" collapsed="false">
      <c r="B142" s="19"/>
    </row>
    <row r="143" customFormat="false" ht="15" hidden="false" customHeight="false" outlineLevel="0" collapsed="false">
      <c r="B143" s="19"/>
    </row>
    <row r="144" customFormat="false" ht="15" hidden="false" customHeight="false" outlineLevel="0" collapsed="false">
      <c r="B144" s="19"/>
    </row>
    <row r="145" customFormat="false" ht="15" hidden="false" customHeight="false" outlineLevel="0" collapsed="false">
      <c r="B145" s="19"/>
    </row>
    <row r="146" customFormat="false" ht="15" hidden="false" customHeight="false" outlineLevel="0" collapsed="false">
      <c r="B146" s="19"/>
    </row>
    <row r="147" customFormat="false" ht="15" hidden="false" customHeight="false" outlineLevel="0" collapsed="false">
      <c r="B147" s="19"/>
    </row>
    <row r="148" customFormat="false" ht="15" hidden="false" customHeight="false" outlineLevel="0" collapsed="false">
      <c r="B148" s="19"/>
    </row>
    <row r="149" customFormat="false" ht="15" hidden="false" customHeight="false" outlineLevel="0" collapsed="false">
      <c r="B149" s="19"/>
    </row>
    <row r="150" customFormat="false" ht="15" hidden="false" customHeight="false" outlineLevel="0" collapsed="false">
      <c r="B150" s="19"/>
    </row>
    <row r="151" customFormat="false" ht="15" hidden="false" customHeight="false" outlineLevel="0" collapsed="false">
      <c r="B151" s="19"/>
    </row>
    <row r="152" customFormat="false" ht="15" hidden="false" customHeight="false" outlineLevel="0" collapsed="false">
      <c r="B152" s="19"/>
    </row>
    <row r="153" customFormat="false" ht="15" hidden="false" customHeight="false" outlineLevel="0" collapsed="false">
      <c r="B153" s="19"/>
    </row>
    <row r="154" customFormat="false" ht="15" hidden="false" customHeight="false" outlineLevel="0" collapsed="false">
      <c r="B154" s="19"/>
    </row>
    <row r="155" customFormat="false" ht="15" hidden="false" customHeight="false" outlineLevel="0" collapsed="false">
      <c r="B155" s="19"/>
    </row>
    <row r="156" customFormat="false" ht="15" hidden="false" customHeight="false" outlineLevel="0" collapsed="false">
      <c r="B156" s="19"/>
    </row>
    <row r="157" customFormat="false" ht="15" hidden="false" customHeight="false" outlineLevel="0" collapsed="false">
      <c r="B157" s="19"/>
    </row>
    <row r="158" customFormat="false" ht="15" hidden="false" customHeight="false" outlineLevel="0" collapsed="false">
      <c r="B158" s="19"/>
    </row>
    <row r="159" customFormat="false" ht="15" hidden="false" customHeight="false" outlineLevel="0" collapsed="false">
      <c r="B159" s="19"/>
    </row>
    <row r="160" customFormat="false" ht="15" hidden="false" customHeight="false" outlineLevel="0" collapsed="false">
      <c r="B160" s="19"/>
    </row>
    <row r="161" customFormat="false" ht="15" hidden="false" customHeight="false" outlineLevel="0" collapsed="false">
      <c r="B161" s="19"/>
    </row>
    <row r="162" customFormat="false" ht="15" hidden="false" customHeight="false" outlineLevel="0" collapsed="false">
      <c r="B162" s="19"/>
    </row>
    <row r="163" customFormat="false" ht="15" hidden="false" customHeight="false" outlineLevel="0" collapsed="false">
      <c r="B163" s="19"/>
    </row>
    <row r="164" customFormat="false" ht="15" hidden="false" customHeight="false" outlineLevel="0" collapsed="false">
      <c r="B164" s="19"/>
    </row>
    <row r="165" customFormat="false" ht="15" hidden="false" customHeight="false" outlineLevel="0" collapsed="false">
      <c r="B165" s="19"/>
    </row>
    <row r="166" customFormat="false" ht="15" hidden="false" customHeight="false" outlineLevel="0" collapsed="false">
      <c r="B166" s="19"/>
    </row>
    <row r="167" customFormat="false" ht="15" hidden="false" customHeight="false" outlineLevel="0" collapsed="false">
      <c r="B167" s="19"/>
    </row>
    <row r="168" customFormat="false" ht="15" hidden="false" customHeight="false" outlineLevel="0" collapsed="false">
      <c r="B168" s="19"/>
    </row>
    <row r="169" customFormat="false" ht="15" hidden="false" customHeight="false" outlineLevel="0" collapsed="false">
      <c r="B169" s="19"/>
    </row>
    <row r="170" customFormat="false" ht="15" hidden="false" customHeight="false" outlineLevel="0" collapsed="false">
      <c r="B170" s="19"/>
    </row>
    <row r="171" customFormat="false" ht="15" hidden="false" customHeight="false" outlineLevel="0" collapsed="false">
      <c r="B171" s="19"/>
    </row>
    <row r="172" customFormat="false" ht="15" hidden="false" customHeight="false" outlineLevel="0" collapsed="false">
      <c r="B172" s="19"/>
    </row>
    <row r="173" customFormat="false" ht="15" hidden="false" customHeight="false" outlineLevel="0" collapsed="false">
      <c r="B173" s="19"/>
    </row>
    <row r="174" customFormat="false" ht="15" hidden="false" customHeight="false" outlineLevel="0" collapsed="false">
      <c r="B174" s="19"/>
    </row>
    <row r="175" customFormat="false" ht="15" hidden="false" customHeight="false" outlineLevel="0" collapsed="false">
      <c r="B175" s="19"/>
    </row>
    <row r="176" customFormat="false" ht="15" hidden="false" customHeight="false" outlineLevel="0" collapsed="false">
      <c r="B176" s="19"/>
    </row>
    <row r="177" customFormat="false" ht="15" hidden="false" customHeight="false" outlineLevel="0" collapsed="false">
      <c r="B177" s="19"/>
    </row>
    <row r="178" customFormat="false" ht="15" hidden="false" customHeight="false" outlineLevel="0" collapsed="false">
      <c r="B178" s="19"/>
    </row>
    <row r="179" customFormat="false" ht="15" hidden="false" customHeight="false" outlineLevel="0" collapsed="false">
      <c r="B179" s="19"/>
    </row>
    <row r="180" customFormat="false" ht="15" hidden="false" customHeight="false" outlineLevel="0" collapsed="false">
      <c r="B180" s="19"/>
    </row>
    <row r="181" customFormat="false" ht="15" hidden="false" customHeight="false" outlineLevel="0" collapsed="false">
      <c r="B181" s="19"/>
    </row>
    <row r="182" customFormat="false" ht="15" hidden="false" customHeight="false" outlineLevel="0" collapsed="false">
      <c r="B182" s="19"/>
    </row>
    <row r="183" customFormat="false" ht="15" hidden="false" customHeight="false" outlineLevel="0" collapsed="false">
      <c r="B183" s="19"/>
    </row>
    <row r="184" customFormat="false" ht="15" hidden="false" customHeight="false" outlineLevel="0" collapsed="false">
      <c r="B184" s="19"/>
    </row>
    <row r="185" customFormat="false" ht="15" hidden="false" customHeight="false" outlineLevel="0" collapsed="false">
      <c r="B185" s="19"/>
    </row>
    <row r="186" customFormat="false" ht="15" hidden="false" customHeight="false" outlineLevel="0" collapsed="false">
      <c r="B186" s="19"/>
    </row>
    <row r="187" customFormat="false" ht="15" hidden="false" customHeight="false" outlineLevel="0" collapsed="false">
      <c r="B187" s="19"/>
    </row>
    <row r="188" customFormat="false" ht="15" hidden="false" customHeight="false" outlineLevel="0" collapsed="false">
      <c r="B188" s="19"/>
    </row>
    <row r="189" customFormat="false" ht="15" hidden="false" customHeight="false" outlineLevel="0" collapsed="false">
      <c r="B189" s="19"/>
    </row>
    <row r="190" customFormat="false" ht="15" hidden="false" customHeight="false" outlineLevel="0" collapsed="false">
      <c r="B190" s="19"/>
    </row>
    <row r="191" customFormat="false" ht="15" hidden="false" customHeight="false" outlineLevel="0" collapsed="false">
      <c r="B191" s="19"/>
    </row>
    <row r="192" customFormat="false" ht="15" hidden="false" customHeight="false" outlineLevel="0" collapsed="false">
      <c r="B192" s="19"/>
    </row>
    <row r="193" customFormat="false" ht="15" hidden="false" customHeight="false" outlineLevel="0" collapsed="false">
      <c r="B193" s="19"/>
    </row>
    <row r="194" customFormat="false" ht="15" hidden="false" customHeight="false" outlineLevel="0" collapsed="false">
      <c r="B194" s="19"/>
    </row>
    <row r="195" customFormat="false" ht="15" hidden="false" customHeight="false" outlineLevel="0" collapsed="false">
      <c r="B195" s="19"/>
    </row>
    <row r="196" customFormat="false" ht="15" hidden="false" customHeight="false" outlineLevel="0" collapsed="false">
      <c r="B196" s="19"/>
    </row>
    <row r="197" customFormat="false" ht="15" hidden="false" customHeight="false" outlineLevel="0" collapsed="false">
      <c r="B197" s="19"/>
    </row>
    <row r="198" customFormat="false" ht="15" hidden="false" customHeight="false" outlineLevel="0" collapsed="false">
      <c r="B198" s="19"/>
    </row>
    <row r="199" customFormat="false" ht="15" hidden="false" customHeight="false" outlineLevel="0" collapsed="false">
      <c r="B199" s="19"/>
    </row>
    <row r="200" customFormat="false" ht="15" hidden="false" customHeight="false" outlineLevel="0" collapsed="false">
      <c r="B200" s="19"/>
    </row>
    <row r="201" customFormat="false" ht="15" hidden="false" customHeight="false" outlineLevel="0" collapsed="false">
      <c r="B201" s="19"/>
    </row>
    <row r="202" customFormat="false" ht="15" hidden="false" customHeight="false" outlineLevel="0" collapsed="false">
      <c r="B202" s="19"/>
    </row>
    <row r="203" customFormat="false" ht="15" hidden="false" customHeight="false" outlineLevel="0" collapsed="false">
      <c r="B203" s="19"/>
    </row>
    <row r="204" customFormat="false" ht="15" hidden="false" customHeight="false" outlineLevel="0" collapsed="false">
      <c r="B204" s="19"/>
    </row>
    <row r="205" customFormat="false" ht="15" hidden="false" customHeight="false" outlineLevel="0" collapsed="false">
      <c r="B205" s="19"/>
    </row>
    <row r="206" customFormat="false" ht="15" hidden="false" customHeight="false" outlineLevel="0" collapsed="false">
      <c r="B206" s="19"/>
    </row>
    <row r="207" customFormat="false" ht="15" hidden="false" customHeight="false" outlineLevel="0" collapsed="false">
      <c r="B207" s="19"/>
    </row>
    <row r="208" customFormat="false" ht="15" hidden="false" customHeight="false" outlineLevel="0" collapsed="false">
      <c r="B208" s="19"/>
    </row>
    <row r="209" customFormat="false" ht="15" hidden="false" customHeight="false" outlineLevel="0" collapsed="false">
      <c r="B209" s="19"/>
    </row>
    <row r="210" customFormat="false" ht="15" hidden="false" customHeight="false" outlineLevel="0" collapsed="false">
      <c r="B210" s="19"/>
    </row>
    <row r="211" customFormat="false" ht="15" hidden="false" customHeight="false" outlineLevel="0" collapsed="false">
      <c r="B211" s="19"/>
    </row>
    <row r="212" customFormat="false" ht="15" hidden="false" customHeight="false" outlineLevel="0" collapsed="false">
      <c r="B212" s="19"/>
    </row>
    <row r="213" customFormat="false" ht="15" hidden="false" customHeight="false" outlineLevel="0" collapsed="false">
      <c r="B213" s="19"/>
    </row>
    <row r="214" customFormat="false" ht="15" hidden="false" customHeight="false" outlineLevel="0" collapsed="false">
      <c r="B214" s="19"/>
    </row>
    <row r="215" customFormat="false" ht="15" hidden="false" customHeight="false" outlineLevel="0" collapsed="false">
      <c r="B215" s="19"/>
    </row>
    <row r="216" customFormat="false" ht="15" hidden="false" customHeight="false" outlineLevel="0" collapsed="false">
      <c r="B216" s="19"/>
    </row>
    <row r="217" customFormat="false" ht="15" hidden="false" customHeight="false" outlineLevel="0" collapsed="false">
      <c r="B217" s="19"/>
    </row>
    <row r="218" customFormat="false" ht="15" hidden="false" customHeight="false" outlineLevel="0" collapsed="false">
      <c r="B218" s="19"/>
    </row>
    <row r="219" customFormat="false" ht="15" hidden="false" customHeight="false" outlineLevel="0" collapsed="false">
      <c r="B219" s="19"/>
    </row>
    <row r="220" customFormat="false" ht="15" hidden="false" customHeight="false" outlineLevel="0" collapsed="false">
      <c r="B220" s="19"/>
    </row>
    <row r="221" customFormat="false" ht="15" hidden="false" customHeight="false" outlineLevel="0" collapsed="false">
      <c r="B221" s="19"/>
    </row>
    <row r="222" customFormat="false" ht="15" hidden="false" customHeight="false" outlineLevel="0" collapsed="false">
      <c r="B222" s="19"/>
    </row>
    <row r="223" customFormat="false" ht="15" hidden="false" customHeight="false" outlineLevel="0" collapsed="false">
      <c r="B223" s="19"/>
    </row>
    <row r="224" customFormat="false" ht="15" hidden="false" customHeight="false" outlineLevel="0" collapsed="false">
      <c r="B224" s="19"/>
    </row>
    <row r="225" customFormat="false" ht="15" hidden="false" customHeight="false" outlineLevel="0" collapsed="false">
      <c r="B225" s="19"/>
    </row>
    <row r="226" customFormat="false" ht="15" hidden="false" customHeight="false" outlineLevel="0" collapsed="false">
      <c r="B226" s="19"/>
    </row>
    <row r="227" customFormat="false" ht="15" hidden="false" customHeight="false" outlineLevel="0" collapsed="false">
      <c r="B227" s="19"/>
    </row>
    <row r="228" customFormat="false" ht="15" hidden="false" customHeight="false" outlineLevel="0" collapsed="false">
      <c r="B228" s="19"/>
    </row>
    <row r="229" customFormat="false" ht="15" hidden="false" customHeight="false" outlineLevel="0" collapsed="false">
      <c r="B229" s="19"/>
    </row>
    <row r="230" customFormat="false" ht="15" hidden="false" customHeight="false" outlineLevel="0" collapsed="false">
      <c r="B230" s="19"/>
    </row>
    <row r="231" customFormat="false" ht="15" hidden="false" customHeight="false" outlineLevel="0" collapsed="false">
      <c r="B231" s="19"/>
    </row>
    <row r="232" customFormat="false" ht="15" hidden="false" customHeight="false" outlineLevel="0" collapsed="false">
      <c r="B232" s="19"/>
    </row>
    <row r="233" customFormat="false" ht="15" hidden="false" customHeight="false" outlineLevel="0" collapsed="false">
      <c r="B233" s="19"/>
    </row>
    <row r="234" customFormat="false" ht="15" hidden="false" customHeight="false" outlineLevel="0" collapsed="false">
      <c r="B234" s="19"/>
    </row>
    <row r="235" customFormat="false" ht="15" hidden="false" customHeight="false" outlineLevel="0" collapsed="false">
      <c r="B235" s="19"/>
    </row>
    <row r="236" customFormat="false" ht="15" hidden="false" customHeight="false" outlineLevel="0" collapsed="false">
      <c r="B236" s="19"/>
    </row>
    <row r="237" customFormat="false" ht="15" hidden="false" customHeight="false" outlineLevel="0" collapsed="false">
      <c r="B237" s="19"/>
    </row>
    <row r="238" customFormat="false" ht="15" hidden="false" customHeight="false" outlineLevel="0" collapsed="false">
      <c r="B238" s="19"/>
    </row>
    <row r="239" customFormat="false" ht="15" hidden="false" customHeight="false" outlineLevel="0" collapsed="false">
      <c r="B239" s="19"/>
    </row>
    <row r="240" customFormat="false" ht="15" hidden="false" customHeight="false" outlineLevel="0" collapsed="false">
      <c r="B240" s="19"/>
    </row>
    <row r="241" customFormat="false" ht="15" hidden="false" customHeight="false" outlineLevel="0" collapsed="false">
      <c r="B241" s="19"/>
    </row>
    <row r="242" customFormat="false" ht="15" hidden="false" customHeight="false" outlineLevel="0" collapsed="false">
      <c r="B242" s="19"/>
    </row>
    <row r="243" customFormat="false" ht="15" hidden="false" customHeight="false" outlineLevel="0" collapsed="false">
      <c r="B243" s="19"/>
    </row>
    <row r="244" customFormat="false" ht="15" hidden="false" customHeight="false" outlineLevel="0" collapsed="false">
      <c r="B244" s="19"/>
    </row>
    <row r="245" customFormat="false" ht="15" hidden="false" customHeight="false" outlineLevel="0" collapsed="false">
      <c r="B245" s="19"/>
    </row>
    <row r="246" customFormat="false" ht="15" hidden="false" customHeight="false" outlineLevel="0" collapsed="false">
      <c r="B246" s="19"/>
    </row>
    <row r="247" customFormat="false" ht="15" hidden="false" customHeight="false" outlineLevel="0" collapsed="false">
      <c r="B247" s="19"/>
    </row>
    <row r="248" customFormat="false" ht="15" hidden="false" customHeight="false" outlineLevel="0" collapsed="false">
      <c r="B248" s="19"/>
    </row>
    <row r="249" customFormat="false" ht="15" hidden="false" customHeight="false" outlineLevel="0" collapsed="false">
      <c r="B249" s="19"/>
    </row>
    <row r="250" customFormat="false" ht="15" hidden="false" customHeight="false" outlineLevel="0" collapsed="false">
      <c r="B250" s="19"/>
    </row>
    <row r="251" customFormat="false" ht="15" hidden="false" customHeight="false" outlineLevel="0" collapsed="false">
      <c r="B251" s="19"/>
    </row>
    <row r="252" customFormat="false" ht="15" hidden="false" customHeight="false" outlineLevel="0" collapsed="false">
      <c r="B252" s="19"/>
    </row>
    <row r="253" customFormat="false" ht="15" hidden="false" customHeight="false" outlineLevel="0" collapsed="false">
      <c r="B253" s="19"/>
    </row>
    <row r="254" customFormat="false" ht="15" hidden="false" customHeight="false" outlineLevel="0" collapsed="false">
      <c r="B254" s="19"/>
    </row>
    <row r="255" customFormat="false" ht="15" hidden="false" customHeight="false" outlineLevel="0" collapsed="false">
      <c r="B255" s="19"/>
    </row>
    <row r="256" customFormat="false" ht="15" hidden="false" customHeight="false" outlineLevel="0" collapsed="false">
      <c r="B256" s="19"/>
    </row>
    <row r="257" customFormat="false" ht="15" hidden="false" customHeight="false" outlineLevel="0" collapsed="false">
      <c r="B257" s="19"/>
    </row>
    <row r="258" customFormat="false" ht="15" hidden="false" customHeight="false" outlineLevel="0" collapsed="false">
      <c r="B258" s="19"/>
    </row>
    <row r="259" customFormat="false" ht="15" hidden="false" customHeight="false" outlineLevel="0" collapsed="false">
      <c r="B259" s="19"/>
    </row>
    <row r="260" customFormat="false" ht="15" hidden="false" customHeight="false" outlineLevel="0" collapsed="false">
      <c r="B260" s="19"/>
    </row>
    <row r="261" customFormat="false" ht="15" hidden="false" customHeight="false" outlineLevel="0" collapsed="false">
      <c r="B261" s="19"/>
    </row>
    <row r="262" customFormat="false" ht="15" hidden="false" customHeight="false" outlineLevel="0" collapsed="false">
      <c r="B262" s="19"/>
    </row>
    <row r="263" customFormat="false" ht="15" hidden="false" customHeight="false" outlineLevel="0" collapsed="false">
      <c r="B263" s="19"/>
    </row>
    <row r="264" customFormat="false" ht="15" hidden="false" customHeight="false" outlineLevel="0" collapsed="false">
      <c r="B264" s="19"/>
    </row>
    <row r="265" customFormat="false" ht="15" hidden="false" customHeight="false" outlineLevel="0" collapsed="false">
      <c r="B265" s="19"/>
    </row>
    <row r="266" customFormat="false" ht="15" hidden="false" customHeight="false" outlineLevel="0" collapsed="false">
      <c r="B266" s="19"/>
    </row>
    <row r="267" customFormat="false" ht="15" hidden="false" customHeight="false" outlineLevel="0" collapsed="false">
      <c r="B267" s="19"/>
    </row>
    <row r="268" customFormat="false" ht="15" hidden="false" customHeight="false" outlineLevel="0" collapsed="false">
      <c r="B268" s="19"/>
    </row>
    <row r="269" customFormat="false" ht="15" hidden="false" customHeight="false" outlineLevel="0" collapsed="false">
      <c r="B269" s="19"/>
    </row>
    <row r="270" customFormat="false" ht="15" hidden="false" customHeight="false" outlineLevel="0" collapsed="false">
      <c r="B270" s="19"/>
    </row>
    <row r="271" customFormat="false" ht="15" hidden="false" customHeight="false" outlineLevel="0" collapsed="false">
      <c r="B271" s="19"/>
    </row>
    <row r="272" customFormat="false" ht="15" hidden="false" customHeight="false" outlineLevel="0" collapsed="false">
      <c r="B272" s="19"/>
    </row>
    <row r="273" customFormat="false" ht="15" hidden="false" customHeight="false" outlineLevel="0" collapsed="false">
      <c r="B273" s="19"/>
    </row>
    <row r="274" customFormat="false" ht="15" hidden="false" customHeight="false" outlineLevel="0" collapsed="false">
      <c r="B274" s="19"/>
    </row>
    <row r="275" customFormat="false" ht="15" hidden="false" customHeight="false" outlineLevel="0" collapsed="false">
      <c r="B275" s="19"/>
    </row>
    <row r="276" customFormat="false" ht="15" hidden="false" customHeight="false" outlineLevel="0" collapsed="false">
      <c r="B276" s="19"/>
    </row>
    <row r="277" customFormat="false" ht="15" hidden="false" customHeight="false" outlineLevel="0" collapsed="false">
      <c r="B277" s="19"/>
    </row>
    <row r="278" customFormat="false" ht="15" hidden="false" customHeight="false" outlineLevel="0" collapsed="false">
      <c r="B278" s="19"/>
    </row>
    <row r="279" customFormat="false" ht="15" hidden="false" customHeight="false" outlineLevel="0" collapsed="false">
      <c r="B279" s="19"/>
    </row>
    <row r="280" customFormat="false" ht="15" hidden="false" customHeight="false" outlineLevel="0" collapsed="false">
      <c r="B280" s="19"/>
    </row>
    <row r="281" customFormat="false" ht="15" hidden="false" customHeight="false" outlineLevel="0" collapsed="false">
      <c r="B281" s="19"/>
    </row>
    <row r="282" customFormat="false" ht="15" hidden="false" customHeight="false" outlineLevel="0" collapsed="false">
      <c r="B282" s="19"/>
    </row>
    <row r="283" customFormat="false" ht="15" hidden="false" customHeight="false" outlineLevel="0" collapsed="false">
      <c r="B283" s="19"/>
    </row>
    <row r="284" customFormat="false" ht="15" hidden="false" customHeight="false" outlineLevel="0" collapsed="false">
      <c r="B284" s="19"/>
    </row>
    <row r="285" customFormat="false" ht="15" hidden="false" customHeight="false" outlineLevel="0" collapsed="false">
      <c r="B285" s="19"/>
    </row>
    <row r="286" customFormat="false" ht="15" hidden="false" customHeight="false" outlineLevel="0" collapsed="false">
      <c r="B286" s="19"/>
    </row>
    <row r="287" customFormat="false" ht="15" hidden="false" customHeight="false" outlineLevel="0" collapsed="false">
      <c r="B287" s="19"/>
    </row>
    <row r="288" customFormat="false" ht="15" hidden="false" customHeight="false" outlineLevel="0" collapsed="false">
      <c r="B288" s="19"/>
    </row>
    <row r="289" customFormat="false" ht="15" hidden="false" customHeight="false" outlineLevel="0" collapsed="false">
      <c r="B289" s="19"/>
    </row>
    <row r="290" customFormat="false" ht="15" hidden="false" customHeight="false" outlineLevel="0" collapsed="false">
      <c r="B290" s="19"/>
    </row>
    <row r="291" customFormat="false" ht="15" hidden="false" customHeight="false" outlineLevel="0" collapsed="false">
      <c r="B291" s="19"/>
    </row>
    <row r="292" customFormat="false" ht="15" hidden="false" customHeight="false" outlineLevel="0" collapsed="false">
      <c r="B292" s="19"/>
    </row>
    <row r="293" customFormat="false" ht="15" hidden="false" customHeight="false" outlineLevel="0" collapsed="false">
      <c r="B293" s="19"/>
    </row>
    <row r="294" customFormat="false" ht="15" hidden="false" customHeight="false" outlineLevel="0" collapsed="false">
      <c r="B294" s="19"/>
    </row>
    <row r="295" customFormat="false" ht="15" hidden="false" customHeight="false" outlineLevel="0" collapsed="false">
      <c r="B295" s="19"/>
    </row>
    <row r="296" customFormat="false" ht="15" hidden="false" customHeight="false" outlineLevel="0" collapsed="false">
      <c r="B296" s="19"/>
    </row>
    <row r="297" customFormat="false" ht="15" hidden="false" customHeight="false" outlineLevel="0" collapsed="false">
      <c r="B297" s="19"/>
    </row>
    <row r="298" customFormat="false" ht="15" hidden="false" customHeight="false" outlineLevel="0" collapsed="false">
      <c r="B298" s="19"/>
    </row>
    <row r="299" customFormat="false" ht="15" hidden="false" customHeight="false" outlineLevel="0" collapsed="false">
      <c r="B299" s="19"/>
    </row>
    <row r="300" customFormat="false" ht="15" hidden="false" customHeight="false" outlineLevel="0" collapsed="false">
      <c r="B300" s="19"/>
    </row>
    <row r="301" customFormat="false" ht="15" hidden="false" customHeight="false" outlineLevel="0" collapsed="false">
      <c r="B301" s="19"/>
    </row>
    <row r="302" customFormat="false" ht="15" hidden="false" customHeight="false" outlineLevel="0" collapsed="false">
      <c r="B302" s="19"/>
    </row>
    <row r="303" customFormat="false" ht="15" hidden="false" customHeight="false" outlineLevel="0" collapsed="false">
      <c r="B303" s="19"/>
    </row>
    <row r="304" customFormat="false" ht="15" hidden="false" customHeight="false" outlineLevel="0" collapsed="false">
      <c r="B304" s="19"/>
    </row>
    <row r="305" customFormat="false" ht="15" hidden="false" customHeight="false" outlineLevel="0" collapsed="false">
      <c r="B305" s="19"/>
    </row>
    <row r="306" customFormat="false" ht="15" hidden="false" customHeight="false" outlineLevel="0" collapsed="false">
      <c r="B306" s="19"/>
    </row>
    <row r="307" customFormat="false" ht="15" hidden="false" customHeight="false" outlineLevel="0" collapsed="false">
      <c r="B307" s="19"/>
    </row>
    <row r="308" customFormat="false" ht="15" hidden="false" customHeight="false" outlineLevel="0" collapsed="false">
      <c r="B308" s="19"/>
    </row>
    <row r="309" customFormat="false" ht="15" hidden="false" customHeight="false" outlineLevel="0" collapsed="false">
      <c r="B309" s="19"/>
    </row>
    <row r="310" customFormat="false" ht="15" hidden="false" customHeight="false" outlineLevel="0" collapsed="false">
      <c r="B310" s="19"/>
    </row>
    <row r="311" customFormat="false" ht="15" hidden="false" customHeight="false" outlineLevel="0" collapsed="false">
      <c r="B311" s="19"/>
    </row>
    <row r="312" customFormat="false" ht="15" hidden="false" customHeight="false" outlineLevel="0" collapsed="false">
      <c r="B312" s="19"/>
    </row>
    <row r="313" customFormat="false" ht="15" hidden="false" customHeight="false" outlineLevel="0" collapsed="false">
      <c r="B313" s="19"/>
    </row>
    <row r="314" customFormat="false" ht="15" hidden="false" customHeight="false" outlineLevel="0" collapsed="false">
      <c r="B314" s="19"/>
    </row>
    <row r="315" customFormat="false" ht="15" hidden="false" customHeight="false" outlineLevel="0" collapsed="false">
      <c r="B315" s="19"/>
    </row>
    <row r="316" customFormat="false" ht="15" hidden="false" customHeight="false" outlineLevel="0" collapsed="false">
      <c r="B316" s="19"/>
    </row>
    <row r="317" customFormat="false" ht="15" hidden="false" customHeight="false" outlineLevel="0" collapsed="false">
      <c r="B317" s="19"/>
    </row>
    <row r="318" customFormat="false" ht="15" hidden="false" customHeight="false" outlineLevel="0" collapsed="false">
      <c r="B318" s="19"/>
    </row>
    <row r="319" customFormat="false" ht="15" hidden="false" customHeight="false" outlineLevel="0" collapsed="false">
      <c r="B319" s="19"/>
    </row>
    <row r="320" customFormat="false" ht="15" hidden="false" customHeight="false" outlineLevel="0" collapsed="false">
      <c r="B320" s="19"/>
    </row>
    <row r="321" customFormat="false" ht="15" hidden="false" customHeight="false" outlineLevel="0" collapsed="false">
      <c r="B321" s="19"/>
    </row>
    <row r="322" customFormat="false" ht="15" hidden="false" customHeight="false" outlineLevel="0" collapsed="false">
      <c r="B322" s="19"/>
    </row>
    <row r="323" customFormat="false" ht="15" hidden="false" customHeight="false" outlineLevel="0" collapsed="false">
      <c r="B323" s="19"/>
    </row>
    <row r="324" customFormat="false" ht="15" hidden="false" customHeight="false" outlineLevel="0" collapsed="false">
      <c r="B324" s="19"/>
    </row>
    <row r="325" customFormat="false" ht="15" hidden="false" customHeight="false" outlineLevel="0" collapsed="false">
      <c r="B325" s="19"/>
    </row>
    <row r="326" customFormat="false" ht="15" hidden="false" customHeight="false" outlineLevel="0" collapsed="false">
      <c r="B326" s="19"/>
    </row>
    <row r="327" customFormat="false" ht="15" hidden="false" customHeight="false" outlineLevel="0" collapsed="false">
      <c r="B327" s="19"/>
    </row>
    <row r="328" customFormat="false" ht="15" hidden="false" customHeight="false" outlineLevel="0" collapsed="false">
      <c r="B328" s="19"/>
    </row>
    <row r="329" customFormat="false" ht="15" hidden="false" customHeight="false" outlineLevel="0" collapsed="false">
      <c r="B329" s="19"/>
    </row>
    <row r="330" customFormat="false" ht="15" hidden="false" customHeight="false" outlineLevel="0" collapsed="false">
      <c r="B330" s="19"/>
    </row>
    <row r="331" customFormat="false" ht="15" hidden="false" customHeight="false" outlineLevel="0" collapsed="false">
      <c r="B331" s="19"/>
    </row>
    <row r="332" customFormat="false" ht="15" hidden="false" customHeight="false" outlineLevel="0" collapsed="false">
      <c r="B332" s="19"/>
    </row>
    <row r="333" customFormat="false" ht="15" hidden="false" customHeight="false" outlineLevel="0" collapsed="false">
      <c r="B333" s="19"/>
    </row>
    <row r="334" customFormat="false" ht="15" hidden="false" customHeight="false" outlineLevel="0" collapsed="false">
      <c r="B334" s="19"/>
    </row>
    <row r="335" customFormat="false" ht="15" hidden="false" customHeight="false" outlineLevel="0" collapsed="false">
      <c r="B335" s="19"/>
    </row>
    <row r="336" customFormat="false" ht="15" hidden="false" customHeight="false" outlineLevel="0" collapsed="false">
      <c r="B336" s="19"/>
    </row>
    <row r="337" customFormat="false" ht="15" hidden="false" customHeight="false" outlineLevel="0" collapsed="false">
      <c r="B337" s="19"/>
    </row>
    <row r="338" customFormat="false" ht="15" hidden="false" customHeight="false" outlineLevel="0" collapsed="false">
      <c r="B338" s="19"/>
    </row>
    <row r="339" customFormat="false" ht="15" hidden="false" customHeight="false" outlineLevel="0" collapsed="false">
      <c r="B339" s="19"/>
    </row>
    <row r="340" customFormat="false" ht="15" hidden="false" customHeight="false" outlineLevel="0" collapsed="false">
      <c r="B340" s="19"/>
    </row>
    <row r="341" customFormat="false" ht="15" hidden="false" customHeight="false" outlineLevel="0" collapsed="false">
      <c r="B341" s="19"/>
    </row>
    <row r="342" customFormat="false" ht="15" hidden="false" customHeight="false" outlineLevel="0" collapsed="false">
      <c r="B342" s="19"/>
    </row>
    <row r="343" customFormat="false" ht="15" hidden="false" customHeight="false" outlineLevel="0" collapsed="false">
      <c r="B343" s="19"/>
    </row>
    <row r="344" customFormat="false" ht="15" hidden="false" customHeight="false" outlineLevel="0" collapsed="false">
      <c r="B344" s="19"/>
    </row>
    <row r="345" customFormat="false" ht="15" hidden="false" customHeight="false" outlineLevel="0" collapsed="false">
      <c r="B345" s="19"/>
    </row>
    <row r="346" customFormat="false" ht="15" hidden="false" customHeight="false" outlineLevel="0" collapsed="false">
      <c r="B346" s="19"/>
    </row>
    <row r="347" customFormat="false" ht="15" hidden="false" customHeight="false" outlineLevel="0" collapsed="false">
      <c r="B347" s="19"/>
    </row>
    <row r="348" customFormat="false" ht="15" hidden="false" customHeight="false" outlineLevel="0" collapsed="false">
      <c r="B348" s="19"/>
    </row>
    <row r="349" customFormat="false" ht="15" hidden="false" customHeight="false" outlineLevel="0" collapsed="false">
      <c r="B349" s="19"/>
    </row>
    <row r="350" customFormat="false" ht="15" hidden="false" customHeight="false" outlineLevel="0" collapsed="false">
      <c r="B350" s="19"/>
    </row>
    <row r="351" customFormat="false" ht="15" hidden="false" customHeight="false" outlineLevel="0" collapsed="false">
      <c r="B351" s="19"/>
    </row>
    <row r="352" customFormat="false" ht="15" hidden="false" customHeight="false" outlineLevel="0" collapsed="false">
      <c r="B352" s="19"/>
    </row>
    <row r="353" customFormat="false" ht="15" hidden="false" customHeight="false" outlineLevel="0" collapsed="false">
      <c r="B353" s="19"/>
    </row>
    <row r="354" customFormat="false" ht="15" hidden="false" customHeight="false" outlineLevel="0" collapsed="false">
      <c r="B354" s="19"/>
    </row>
    <row r="355" customFormat="false" ht="15" hidden="false" customHeight="false" outlineLevel="0" collapsed="false">
      <c r="B355" s="19"/>
    </row>
    <row r="356" customFormat="false" ht="15" hidden="false" customHeight="false" outlineLevel="0" collapsed="false">
      <c r="B356" s="19"/>
    </row>
    <row r="357" customFormat="false" ht="15" hidden="false" customHeight="false" outlineLevel="0" collapsed="false">
      <c r="B357" s="19"/>
    </row>
    <row r="358" customFormat="false" ht="15" hidden="false" customHeight="false" outlineLevel="0" collapsed="false">
      <c r="B358" s="19"/>
    </row>
    <row r="359" customFormat="false" ht="15" hidden="false" customHeight="false" outlineLevel="0" collapsed="false">
      <c r="B359" s="19"/>
    </row>
    <row r="360" customFormat="false" ht="15" hidden="false" customHeight="false" outlineLevel="0" collapsed="false">
      <c r="B360" s="19"/>
    </row>
    <row r="361" customFormat="false" ht="15" hidden="false" customHeight="false" outlineLevel="0" collapsed="false">
      <c r="B361" s="19"/>
    </row>
    <row r="362" customFormat="false" ht="15" hidden="false" customHeight="false" outlineLevel="0" collapsed="false">
      <c r="B362" s="19"/>
    </row>
    <row r="363" customFormat="false" ht="15" hidden="false" customHeight="false" outlineLevel="0" collapsed="false">
      <c r="B363" s="19"/>
    </row>
    <row r="364" customFormat="false" ht="15" hidden="false" customHeight="false" outlineLevel="0" collapsed="false">
      <c r="B364" s="19"/>
    </row>
    <row r="365" customFormat="false" ht="15" hidden="false" customHeight="false" outlineLevel="0" collapsed="false">
      <c r="B365" s="19"/>
    </row>
    <row r="366" customFormat="false" ht="15" hidden="false" customHeight="false" outlineLevel="0" collapsed="false">
      <c r="B366" s="19"/>
    </row>
    <row r="367" customFormat="false" ht="15" hidden="false" customHeight="false" outlineLevel="0" collapsed="false">
      <c r="B367" s="19"/>
    </row>
    <row r="368" customFormat="false" ht="15" hidden="false" customHeight="false" outlineLevel="0" collapsed="false">
      <c r="B368" s="19"/>
    </row>
    <row r="369" customFormat="false" ht="15" hidden="false" customHeight="false" outlineLevel="0" collapsed="false">
      <c r="B369" s="19"/>
    </row>
    <row r="370" customFormat="false" ht="15" hidden="false" customHeight="false" outlineLevel="0" collapsed="false">
      <c r="B370" s="19"/>
    </row>
    <row r="371" customFormat="false" ht="15" hidden="false" customHeight="false" outlineLevel="0" collapsed="false">
      <c r="B371" s="19"/>
    </row>
    <row r="372" customFormat="false" ht="15" hidden="false" customHeight="false" outlineLevel="0" collapsed="false">
      <c r="B372" s="19"/>
    </row>
    <row r="373" customFormat="false" ht="15" hidden="false" customHeight="false" outlineLevel="0" collapsed="false">
      <c r="B373" s="19"/>
    </row>
    <row r="374" customFormat="false" ht="15" hidden="false" customHeight="false" outlineLevel="0" collapsed="false">
      <c r="B374" s="19"/>
    </row>
    <row r="375" customFormat="false" ht="15" hidden="false" customHeight="false" outlineLevel="0" collapsed="false">
      <c r="B375" s="19"/>
    </row>
    <row r="376" customFormat="false" ht="15" hidden="false" customHeight="false" outlineLevel="0" collapsed="false">
      <c r="B376" s="19"/>
    </row>
    <row r="377" customFormat="false" ht="15" hidden="false" customHeight="false" outlineLevel="0" collapsed="false">
      <c r="B377" s="19"/>
    </row>
    <row r="378" customFormat="false" ht="15" hidden="false" customHeight="false" outlineLevel="0" collapsed="false">
      <c r="B378" s="19"/>
    </row>
    <row r="379" customFormat="false" ht="15" hidden="false" customHeight="false" outlineLevel="0" collapsed="false">
      <c r="B379" s="19"/>
    </row>
    <row r="380" customFormat="false" ht="15" hidden="false" customHeight="false" outlineLevel="0" collapsed="false">
      <c r="B380" s="19"/>
    </row>
    <row r="381" customFormat="false" ht="15" hidden="false" customHeight="false" outlineLevel="0" collapsed="false">
      <c r="B381" s="19"/>
    </row>
    <row r="382" customFormat="false" ht="15" hidden="false" customHeight="false" outlineLevel="0" collapsed="false">
      <c r="B382" s="19"/>
    </row>
    <row r="383" customFormat="false" ht="15" hidden="false" customHeight="false" outlineLevel="0" collapsed="false">
      <c r="B383" s="19"/>
    </row>
    <row r="384" customFormat="false" ht="15" hidden="false" customHeight="false" outlineLevel="0" collapsed="false">
      <c r="B384" s="19"/>
    </row>
    <row r="385" customFormat="false" ht="15" hidden="false" customHeight="false" outlineLevel="0" collapsed="false">
      <c r="B385" s="19"/>
    </row>
    <row r="386" customFormat="false" ht="15" hidden="false" customHeight="false" outlineLevel="0" collapsed="false">
      <c r="B386" s="19"/>
    </row>
    <row r="387" customFormat="false" ht="15" hidden="false" customHeight="false" outlineLevel="0" collapsed="false">
      <c r="B387" s="19"/>
    </row>
    <row r="388" customFormat="false" ht="15" hidden="false" customHeight="false" outlineLevel="0" collapsed="false">
      <c r="B388" s="19"/>
    </row>
    <row r="389" customFormat="false" ht="15" hidden="false" customHeight="false" outlineLevel="0" collapsed="false">
      <c r="B389" s="19"/>
    </row>
    <row r="390" customFormat="false" ht="15" hidden="false" customHeight="false" outlineLevel="0" collapsed="false">
      <c r="B390" s="19"/>
    </row>
    <row r="391" customFormat="false" ht="15" hidden="false" customHeight="false" outlineLevel="0" collapsed="false">
      <c r="B391" s="19"/>
    </row>
    <row r="392" customFormat="false" ht="15" hidden="false" customHeight="false" outlineLevel="0" collapsed="false">
      <c r="B392" s="19"/>
    </row>
    <row r="393" customFormat="false" ht="15" hidden="false" customHeight="false" outlineLevel="0" collapsed="false">
      <c r="B393" s="19"/>
    </row>
    <row r="394" customFormat="false" ht="15" hidden="false" customHeight="false" outlineLevel="0" collapsed="false">
      <c r="B394" s="19"/>
    </row>
    <row r="395" customFormat="false" ht="15" hidden="false" customHeight="false" outlineLevel="0" collapsed="false">
      <c r="B395" s="19"/>
    </row>
    <row r="396" customFormat="false" ht="15" hidden="false" customHeight="false" outlineLevel="0" collapsed="false">
      <c r="B396" s="19"/>
    </row>
    <row r="397" customFormat="false" ht="15" hidden="false" customHeight="false" outlineLevel="0" collapsed="false">
      <c r="B397" s="19"/>
    </row>
    <row r="398" customFormat="false" ht="15" hidden="false" customHeight="false" outlineLevel="0" collapsed="false">
      <c r="B398" s="19"/>
    </row>
    <row r="399" customFormat="false" ht="15" hidden="false" customHeight="false" outlineLevel="0" collapsed="false">
      <c r="B399" s="19"/>
    </row>
    <row r="400" customFormat="false" ht="15" hidden="false" customHeight="false" outlineLevel="0" collapsed="false">
      <c r="B400" s="19"/>
    </row>
    <row r="401" customFormat="false" ht="15" hidden="false" customHeight="false" outlineLevel="0" collapsed="false">
      <c r="B40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7"/>
    <col collapsed="false" customWidth="true" hidden="false" outlineLevel="0" max="3" min="3" style="0" width="14"/>
  </cols>
  <sheetData>
    <row r="1" customFormat="false" ht="19.5" hidden="false" customHeight="true" outlineLevel="0" collapsed="false">
      <c r="A1" s="10" t="s">
        <v>65</v>
      </c>
      <c r="B1" s="10" t="s">
        <v>66</v>
      </c>
      <c r="C1" s="10" t="s">
        <v>67</v>
      </c>
    </row>
    <row r="2" customFormat="false" ht="15" hidden="false" customHeight="false" outlineLevel="0" collapsed="false">
      <c r="A2" s="2"/>
      <c r="B2" s="17"/>
      <c r="C2" s="2"/>
    </row>
    <row r="3" customFormat="false" ht="15" hidden="false" customHeight="false" outlineLevel="0" collapsed="false">
      <c r="A3" s="2"/>
      <c r="B3" s="17"/>
      <c r="C3" s="2"/>
    </row>
    <row r="4" customFormat="false" ht="15" hidden="false" customHeight="false" outlineLevel="0" collapsed="false">
      <c r="A4" s="2"/>
      <c r="B4" s="17"/>
      <c r="C4" s="2"/>
    </row>
    <row r="5" customFormat="false" ht="15" hidden="false" customHeight="false" outlineLevel="0" collapsed="false">
      <c r="A5" s="2"/>
      <c r="B5" s="17"/>
      <c r="C5" s="2"/>
    </row>
    <row r="6" customFormat="false" ht="15" hidden="false" customHeight="false" outlineLevel="0" collapsed="false">
      <c r="A6" s="2"/>
      <c r="B6" s="17"/>
      <c r="C6" s="2"/>
    </row>
    <row r="7" customFormat="false" ht="15" hidden="false" customHeight="false" outlineLevel="0" collapsed="false">
      <c r="A7" s="2"/>
      <c r="B7" s="17"/>
      <c r="C7" s="2"/>
    </row>
    <row r="8" customFormat="false" ht="15" hidden="false" customHeight="false" outlineLevel="0" collapsed="false">
      <c r="A8" s="2"/>
      <c r="B8" s="17"/>
      <c r="C8" s="2"/>
    </row>
    <row r="9" customFormat="false" ht="15" hidden="false" customHeight="false" outlineLevel="0" collapsed="false">
      <c r="A9" s="2"/>
      <c r="B9" s="17"/>
      <c r="C9" s="2"/>
    </row>
    <row r="10" customFormat="false" ht="15" hidden="false" customHeight="false" outlineLevel="0" collapsed="false">
      <c r="A10" s="2"/>
      <c r="B10" s="17"/>
      <c r="C10" s="2"/>
    </row>
    <row r="11" customFormat="false" ht="15" hidden="false" customHeight="false" outlineLevel="0" collapsed="false">
      <c r="A11" s="2"/>
      <c r="B11" s="17"/>
      <c r="C11" s="2"/>
    </row>
    <row r="12" customFormat="false" ht="15" hidden="false" customHeight="false" outlineLevel="0" collapsed="false">
      <c r="A12" s="2"/>
      <c r="B12" s="17"/>
      <c r="C12" s="2"/>
    </row>
    <row r="13" customFormat="false" ht="15" hidden="false" customHeight="false" outlineLevel="0" collapsed="false">
      <c r="A13" s="2"/>
      <c r="B13" s="17"/>
      <c r="C13" s="2"/>
    </row>
    <row r="14" customFormat="false" ht="15" hidden="false" customHeight="false" outlineLevel="0" collapsed="false">
      <c r="A14" s="2"/>
      <c r="B14" s="17"/>
      <c r="C14" s="2"/>
    </row>
    <row r="15" customFormat="false" ht="15" hidden="false" customHeight="false" outlineLevel="0" collapsed="false">
      <c r="A15" s="2"/>
      <c r="B15" s="17"/>
      <c r="C15" s="2"/>
    </row>
    <row r="16" customFormat="false" ht="15" hidden="false" customHeight="false" outlineLevel="0" collapsed="false">
      <c r="A16" s="2"/>
      <c r="B16" s="17"/>
      <c r="C16" s="2"/>
    </row>
    <row r="17" customFormat="false" ht="15" hidden="false" customHeight="false" outlineLevel="0" collapsed="false">
      <c r="A17" s="2"/>
      <c r="B17" s="17"/>
      <c r="C17" s="2"/>
    </row>
    <row r="18" customFormat="false" ht="15" hidden="false" customHeight="false" outlineLevel="0" collapsed="false">
      <c r="A18" s="2"/>
      <c r="B18" s="17"/>
      <c r="C18" s="2"/>
    </row>
    <row r="19" customFormat="false" ht="15" hidden="false" customHeight="false" outlineLevel="0" collapsed="false">
      <c r="A19" s="2"/>
      <c r="B19" s="17"/>
      <c r="C19" s="2"/>
    </row>
    <row r="20" customFormat="false" ht="15" hidden="false" customHeight="false" outlineLevel="0" collapsed="false">
      <c r="A20" s="2"/>
      <c r="B20" s="17"/>
      <c r="C20" s="2"/>
    </row>
    <row r="21" customFormat="false" ht="15" hidden="false" customHeight="false" outlineLevel="0" collapsed="false">
      <c r="B21" s="18"/>
    </row>
    <row r="22" customFormat="false" ht="15" hidden="false" customHeight="false" outlineLevel="0" collapsed="false">
      <c r="B22" s="18"/>
    </row>
    <row r="23" customFormat="false" ht="15" hidden="false" customHeight="false" outlineLevel="0" collapsed="false">
      <c r="B23" s="18"/>
    </row>
    <row r="24" customFormat="false" ht="15" hidden="false" customHeight="false" outlineLevel="0" collapsed="false">
      <c r="B24" s="18"/>
    </row>
    <row r="25" customFormat="false" ht="15" hidden="false" customHeight="false" outlineLevel="0" collapsed="false">
      <c r="B25" s="18"/>
    </row>
    <row r="26" customFormat="false" ht="15" hidden="false" customHeight="false" outlineLevel="0" collapsed="false">
      <c r="B26" s="18"/>
    </row>
    <row r="27" customFormat="false" ht="15" hidden="false" customHeight="false" outlineLevel="0" collapsed="false">
      <c r="B27" s="18"/>
    </row>
    <row r="28" customFormat="false" ht="15" hidden="false" customHeight="false" outlineLevel="0" collapsed="false">
      <c r="B28" s="18"/>
    </row>
    <row r="29" customFormat="false" ht="15" hidden="false" customHeight="false" outlineLevel="0" collapsed="false">
      <c r="B29" s="18"/>
    </row>
    <row r="30" customFormat="false" ht="15" hidden="false" customHeight="false" outlineLevel="0" collapsed="false">
      <c r="B30" s="18"/>
    </row>
    <row r="31" customFormat="false" ht="15" hidden="false" customHeight="false" outlineLevel="0" collapsed="false">
      <c r="B31" s="18"/>
    </row>
    <row r="32" customFormat="false" ht="15" hidden="false" customHeight="false" outlineLevel="0" collapsed="false">
      <c r="B32" s="18"/>
    </row>
    <row r="33" customFormat="false" ht="15" hidden="false" customHeight="false" outlineLevel="0" collapsed="false">
      <c r="B33" s="18"/>
    </row>
    <row r="34" customFormat="false" ht="15" hidden="false" customHeight="false" outlineLevel="0" collapsed="false">
      <c r="B34" s="18"/>
    </row>
    <row r="35" customFormat="false" ht="15" hidden="false" customHeight="false" outlineLevel="0" collapsed="false">
      <c r="B35" s="18"/>
    </row>
    <row r="36" customFormat="false" ht="15" hidden="false" customHeight="false" outlineLevel="0" collapsed="false">
      <c r="B36" s="18"/>
    </row>
    <row r="37" customFormat="false" ht="15" hidden="false" customHeight="false" outlineLevel="0" collapsed="false">
      <c r="B37" s="18"/>
    </row>
    <row r="38" customFormat="false" ht="15" hidden="false" customHeight="false" outlineLevel="0" collapsed="false">
      <c r="B38" s="18"/>
    </row>
    <row r="39" customFormat="false" ht="15" hidden="false" customHeight="false" outlineLevel="0" collapsed="false">
      <c r="B39" s="18"/>
    </row>
    <row r="40" customFormat="false" ht="15" hidden="false" customHeight="false" outlineLevel="0" collapsed="false">
      <c r="B40" s="18"/>
    </row>
    <row r="41" customFormat="false" ht="15" hidden="false" customHeight="false" outlineLevel="0" collapsed="false">
      <c r="B41" s="18"/>
    </row>
    <row r="42" customFormat="false" ht="15" hidden="false" customHeight="false" outlineLevel="0" collapsed="false">
      <c r="B42" s="18"/>
    </row>
    <row r="43" customFormat="false" ht="15" hidden="false" customHeight="false" outlineLevel="0" collapsed="false">
      <c r="B43" s="18"/>
    </row>
    <row r="44" customFormat="false" ht="15" hidden="false" customHeight="false" outlineLevel="0" collapsed="false">
      <c r="B44" s="18"/>
    </row>
    <row r="45" customFormat="false" ht="15" hidden="false" customHeight="false" outlineLevel="0" collapsed="false">
      <c r="B45" s="18"/>
    </row>
    <row r="46" customFormat="false" ht="15" hidden="false" customHeight="false" outlineLevel="0" collapsed="false">
      <c r="B46" s="18"/>
    </row>
    <row r="47" customFormat="false" ht="15" hidden="false" customHeight="false" outlineLevel="0" collapsed="false">
      <c r="B47" s="18"/>
    </row>
    <row r="48" customFormat="false" ht="15" hidden="false" customHeight="false" outlineLevel="0" collapsed="false">
      <c r="B48" s="18"/>
    </row>
    <row r="49" customFormat="false" ht="15" hidden="false" customHeight="false" outlineLevel="0" collapsed="false">
      <c r="B49" s="18"/>
    </row>
    <row r="50" customFormat="false" ht="15" hidden="false" customHeight="false" outlineLevel="0" collapsed="false">
      <c r="B50" s="18"/>
    </row>
    <row r="51" customFormat="false" ht="15" hidden="false" customHeight="false" outlineLevel="0" collapsed="false">
      <c r="B51" s="18"/>
    </row>
    <row r="52" customFormat="false" ht="15" hidden="false" customHeight="false" outlineLevel="0" collapsed="false">
      <c r="B52" s="18"/>
    </row>
    <row r="53" customFormat="false" ht="15" hidden="false" customHeight="false" outlineLevel="0" collapsed="false">
      <c r="B53" s="18"/>
    </row>
    <row r="54" customFormat="false" ht="15" hidden="false" customHeight="false" outlineLevel="0" collapsed="false">
      <c r="B54" s="18"/>
    </row>
    <row r="55" customFormat="false" ht="15" hidden="false" customHeight="false" outlineLevel="0" collapsed="false">
      <c r="B55" s="18"/>
    </row>
    <row r="56" customFormat="false" ht="15" hidden="false" customHeight="false" outlineLevel="0" collapsed="false">
      <c r="B56" s="18"/>
    </row>
    <row r="57" customFormat="false" ht="15" hidden="false" customHeight="false" outlineLevel="0" collapsed="false">
      <c r="B57" s="18"/>
    </row>
    <row r="58" customFormat="false" ht="15" hidden="false" customHeight="false" outlineLevel="0" collapsed="false">
      <c r="B58" s="18"/>
    </row>
    <row r="59" customFormat="false" ht="15" hidden="false" customHeight="false" outlineLevel="0" collapsed="false">
      <c r="B59" s="18"/>
    </row>
    <row r="60" customFormat="false" ht="15" hidden="false" customHeight="false" outlineLevel="0" collapsed="false">
      <c r="B60" s="18"/>
    </row>
    <row r="61" customFormat="false" ht="15" hidden="false" customHeight="false" outlineLevel="0" collapsed="false">
      <c r="B61" s="18"/>
    </row>
    <row r="62" customFormat="false" ht="15" hidden="false" customHeight="false" outlineLevel="0" collapsed="false">
      <c r="B62" s="18"/>
    </row>
    <row r="63" customFormat="false" ht="15" hidden="false" customHeight="false" outlineLevel="0" collapsed="false">
      <c r="B63" s="18"/>
    </row>
    <row r="64" customFormat="false" ht="15" hidden="false" customHeight="false" outlineLevel="0" collapsed="false">
      <c r="B64" s="18"/>
    </row>
    <row r="65" customFormat="false" ht="15" hidden="false" customHeight="false" outlineLevel="0" collapsed="false">
      <c r="B65" s="18"/>
    </row>
    <row r="66" customFormat="false" ht="15" hidden="false" customHeight="false" outlineLevel="0" collapsed="false">
      <c r="B66" s="18"/>
    </row>
    <row r="67" customFormat="false" ht="15" hidden="false" customHeight="false" outlineLevel="0" collapsed="false">
      <c r="B67" s="18"/>
    </row>
    <row r="68" customFormat="false" ht="15" hidden="false" customHeight="false" outlineLevel="0" collapsed="false">
      <c r="B68" s="18"/>
    </row>
    <row r="69" customFormat="false" ht="15" hidden="false" customHeight="false" outlineLevel="0" collapsed="false">
      <c r="B69" s="18"/>
    </row>
    <row r="70" customFormat="false" ht="15" hidden="false" customHeight="false" outlineLevel="0" collapsed="false">
      <c r="B70" s="18"/>
    </row>
    <row r="71" customFormat="false" ht="15" hidden="false" customHeight="false" outlineLevel="0" collapsed="false">
      <c r="B71" s="18"/>
    </row>
    <row r="72" customFormat="false" ht="15" hidden="false" customHeight="false" outlineLevel="0" collapsed="false">
      <c r="B72" s="18"/>
    </row>
    <row r="73" customFormat="false" ht="15" hidden="false" customHeight="false" outlineLevel="0" collapsed="false">
      <c r="B73" s="18"/>
    </row>
    <row r="74" customFormat="false" ht="15" hidden="false" customHeight="false" outlineLevel="0" collapsed="false">
      <c r="B74" s="18"/>
    </row>
    <row r="75" customFormat="false" ht="15" hidden="false" customHeight="false" outlineLevel="0" collapsed="false">
      <c r="B75" s="18"/>
    </row>
    <row r="76" customFormat="false" ht="15" hidden="false" customHeight="false" outlineLevel="0" collapsed="false">
      <c r="B76" s="18"/>
    </row>
    <row r="77" customFormat="false" ht="15" hidden="false" customHeight="false" outlineLevel="0" collapsed="false">
      <c r="B77" s="18"/>
    </row>
    <row r="78" customFormat="false" ht="15" hidden="false" customHeight="false" outlineLevel="0" collapsed="false">
      <c r="B78" s="18"/>
    </row>
    <row r="79" customFormat="false" ht="15" hidden="false" customHeight="false" outlineLevel="0" collapsed="false">
      <c r="B79" s="18"/>
    </row>
    <row r="80" customFormat="false" ht="15" hidden="false" customHeight="false" outlineLevel="0" collapsed="false">
      <c r="B80" s="18"/>
    </row>
    <row r="81" customFormat="false" ht="15" hidden="false" customHeight="false" outlineLevel="0" collapsed="false">
      <c r="B81" s="18"/>
    </row>
    <row r="82" customFormat="false" ht="15" hidden="false" customHeight="false" outlineLevel="0" collapsed="false">
      <c r="B82" s="18"/>
    </row>
    <row r="83" customFormat="false" ht="15" hidden="false" customHeight="false" outlineLevel="0" collapsed="false">
      <c r="B83" s="18"/>
    </row>
    <row r="84" customFormat="false" ht="15" hidden="false" customHeight="false" outlineLevel="0" collapsed="false">
      <c r="B84" s="18"/>
    </row>
    <row r="85" customFormat="false" ht="15" hidden="false" customHeight="false" outlineLevel="0" collapsed="false">
      <c r="B85" s="18"/>
    </row>
    <row r="86" customFormat="false" ht="15" hidden="false" customHeight="false" outlineLevel="0" collapsed="false">
      <c r="B86" s="18"/>
    </row>
    <row r="87" customFormat="false" ht="15" hidden="false" customHeight="false" outlineLevel="0" collapsed="false">
      <c r="B87" s="18"/>
    </row>
    <row r="88" customFormat="false" ht="15" hidden="false" customHeight="false" outlineLevel="0" collapsed="false">
      <c r="B88" s="18"/>
    </row>
    <row r="89" customFormat="false" ht="15" hidden="false" customHeight="false" outlineLevel="0" collapsed="false">
      <c r="B89" s="18"/>
    </row>
    <row r="90" customFormat="false" ht="15" hidden="false" customHeight="false" outlineLevel="0" collapsed="false">
      <c r="B90" s="18"/>
    </row>
    <row r="91" customFormat="false" ht="15" hidden="false" customHeight="false" outlineLevel="0" collapsed="false">
      <c r="B91" s="18"/>
    </row>
    <row r="92" customFormat="false" ht="15" hidden="false" customHeight="false" outlineLevel="0" collapsed="false">
      <c r="B92" s="18"/>
    </row>
    <row r="93" customFormat="false" ht="15" hidden="false" customHeight="false" outlineLevel="0" collapsed="false">
      <c r="B93" s="18"/>
    </row>
    <row r="94" customFormat="false" ht="15" hidden="false" customHeight="false" outlineLevel="0" collapsed="false">
      <c r="B94" s="18"/>
    </row>
    <row r="95" customFormat="false" ht="15" hidden="false" customHeight="false" outlineLevel="0" collapsed="false">
      <c r="B95" s="18"/>
    </row>
    <row r="96" customFormat="false" ht="15" hidden="false" customHeight="false" outlineLevel="0" collapsed="false">
      <c r="B96" s="18"/>
    </row>
    <row r="97" customFormat="false" ht="15" hidden="false" customHeight="false" outlineLevel="0" collapsed="false">
      <c r="B97" s="18"/>
    </row>
    <row r="98" customFormat="false" ht="15" hidden="false" customHeight="false" outlineLevel="0" collapsed="false">
      <c r="B98" s="18"/>
    </row>
    <row r="99" customFormat="false" ht="15" hidden="false" customHeight="false" outlineLevel="0" collapsed="false">
      <c r="B99" s="18"/>
    </row>
    <row r="100" customFormat="false" ht="15" hidden="false" customHeight="false" outlineLevel="0" collapsed="false">
      <c r="B100" s="18"/>
    </row>
    <row r="101" customFormat="false" ht="15" hidden="false" customHeight="false" outlineLevel="0" collapsed="false">
      <c r="B101" s="18"/>
    </row>
    <row r="102" customFormat="false" ht="15" hidden="false" customHeight="false" outlineLevel="0" collapsed="false">
      <c r="B102" s="18"/>
    </row>
    <row r="103" customFormat="false" ht="15" hidden="false" customHeight="false" outlineLevel="0" collapsed="false">
      <c r="B103" s="18"/>
    </row>
    <row r="104" customFormat="false" ht="15" hidden="false" customHeight="false" outlineLevel="0" collapsed="false">
      <c r="B104" s="18"/>
    </row>
    <row r="105" customFormat="false" ht="15" hidden="false" customHeight="false" outlineLevel="0" collapsed="false">
      <c r="B105" s="18"/>
    </row>
    <row r="106" customFormat="false" ht="15" hidden="false" customHeight="false" outlineLevel="0" collapsed="false">
      <c r="B106" s="18"/>
    </row>
    <row r="107" customFormat="false" ht="15" hidden="false" customHeight="false" outlineLevel="0" collapsed="false">
      <c r="B107" s="18"/>
    </row>
    <row r="108" customFormat="false" ht="15" hidden="false" customHeight="false" outlineLevel="0" collapsed="false">
      <c r="B108" s="18"/>
    </row>
    <row r="109" customFormat="false" ht="15" hidden="false" customHeight="false" outlineLevel="0" collapsed="false">
      <c r="B109" s="18"/>
    </row>
    <row r="110" customFormat="false" ht="15" hidden="false" customHeight="false" outlineLevel="0" collapsed="false">
      <c r="B110" s="18"/>
    </row>
    <row r="111" customFormat="false" ht="15" hidden="false" customHeight="false" outlineLevel="0" collapsed="false">
      <c r="B111" s="18"/>
    </row>
    <row r="112" customFormat="false" ht="15" hidden="false" customHeight="false" outlineLevel="0" collapsed="false">
      <c r="B112" s="18"/>
    </row>
    <row r="113" customFormat="false" ht="15" hidden="false" customHeight="false" outlineLevel="0" collapsed="false">
      <c r="B113" s="18"/>
    </row>
    <row r="114" customFormat="false" ht="15" hidden="false" customHeight="false" outlineLevel="0" collapsed="false">
      <c r="B114" s="18"/>
    </row>
    <row r="115" customFormat="false" ht="15" hidden="false" customHeight="false" outlineLevel="0" collapsed="false">
      <c r="B115" s="18"/>
    </row>
    <row r="116" customFormat="false" ht="15" hidden="false" customHeight="false" outlineLevel="0" collapsed="false">
      <c r="B116" s="18"/>
    </row>
    <row r="117" customFormat="false" ht="15" hidden="false" customHeight="false" outlineLevel="0" collapsed="false">
      <c r="B117" s="18"/>
    </row>
    <row r="118" customFormat="false" ht="15" hidden="false" customHeight="false" outlineLevel="0" collapsed="false">
      <c r="B118" s="18"/>
    </row>
    <row r="119" customFormat="false" ht="15" hidden="false" customHeight="false" outlineLevel="0" collapsed="false">
      <c r="B119" s="18"/>
    </row>
    <row r="120" customFormat="false" ht="15" hidden="false" customHeight="false" outlineLevel="0" collapsed="false">
      <c r="B120" s="18"/>
    </row>
    <row r="121" customFormat="false" ht="15" hidden="false" customHeight="false" outlineLevel="0" collapsed="false">
      <c r="B121" s="18"/>
    </row>
    <row r="122" customFormat="false" ht="15" hidden="false" customHeight="false" outlineLevel="0" collapsed="false">
      <c r="B122" s="18"/>
    </row>
    <row r="123" customFormat="false" ht="15" hidden="false" customHeight="false" outlineLevel="0" collapsed="false">
      <c r="B123" s="18"/>
    </row>
    <row r="124" customFormat="false" ht="15" hidden="false" customHeight="false" outlineLevel="0" collapsed="false">
      <c r="B124" s="18"/>
    </row>
    <row r="125" customFormat="false" ht="15" hidden="false" customHeight="false" outlineLevel="0" collapsed="false">
      <c r="B125" s="18"/>
    </row>
    <row r="126" customFormat="false" ht="15" hidden="false" customHeight="false" outlineLevel="0" collapsed="false">
      <c r="B126" s="18"/>
    </row>
    <row r="127" customFormat="false" ht="15" hidden="false" customHeight="false" outlineLevel="0" collapsed="false">
      <c r="B127" s="18"/>
    </row>
    <row r="128" customFormat="false" ht="15" hidden="false" customHeight="false" outlineLevel="0" collapsed="false">
      <c r="B128" s="18"/>
    </row>
    <row r="129" customFormat="false" ht="15" hidden="false" customHeight="false" outlineLevel="0" collapsed="false">
      <c r="B129" s="18"/>
    </row>
    <row r="130" customFormat="false" ht="15" hidden="false" customHeight="false" outlineLevel="0" collapsed="false">
      <c r="B130" s="18"/>
    </row>
    <row r="131" customFormat="false" ht="15" hidden="false" customHeight="false" outlineLevel="0" collapsed="false">
      <c r="B131" s="18"/>
    </row>
    <row r="132" customFormat="false" ht="15" hidden="false" customHeight="false" outlineLevel="0" collapsed="false">
      <c r="B132" s="18"/>
    </row>
    <row r="133" customFormat="false" ht="15" hidden="false" customHeight="false" outlineLevel="0" collapsed="false">
      <c r="B133" s="18"/>
    </row>
    <row r="134" customFormat="false" ht="15" hidden="false" customHeight="false" outlineLevel="0" collapsed="false">
      <c r="B134" s="18"/>
    </row>
    <row r="135" customFormat="false" ht="15" hidden="false" customHeight="false" outlineLevel="0" collapsed="false">
      <c r="B135" s="18"/>
    </row>
    <row r="136" customFormat="false" ht="15" hidden="false" customHeight="false" outlineLevel="0" collapsed="false">
      <c r="B136" s="18"/>
    </row>
    <row r="137" customFormat="false" ht="15" hidden="false" customHeight="false" outlineLevel="0" collapsed="false">
      <c r="B137" s="18"/>
    </row>
    <row r="138" customFormat="false" ht="15" hidden="false" customHeight="false" outlineLevel="0" collapsed="false">
      <c r="B138" s="18"/>
    </row>
    <row r="139" customFormat="false" ht="15" hidden="false" customHeight="false" outlineLevel="0" collapsed="false">
      <c r="B139" s="18"/>
    </row>
    <row r="140" customFormat="false" ht="15" hidden="false" customHeight="false" outlineLevel="0" collapsed="false">
      <c r="B140" s="18"/>
    </row>
    <row r="141" customFormat="false" ht="15" hidden="false" customHeight="false" outlineLevel="0" collapsed="false">
      <c r="B141" s="18"/>
    </row>
    <row r="142" customFormat="false" ht="15" hidden="false" customHeight="false" outlineLevel="0" collapsed="false">
      <c r="B142" s="18"/>
    </row>
    <row r="143" customFormat="false" ht="15" hidden="false" customHeight="false" outlineLevel="0" collapsed="false">
      <c r="B143" s="18"/>
    </row>
    <row r="144" customFormat="false" ht="15" hidden="false" customHeight="false" outlineLevel="0" collapsed="false">
      <c r="B144" s="18"/>
    </row>
    <row r="145" customFormat="false" ht="15" hidden="false" customHeight="false" outlineLevel="0" collapsed="false">
      <c r="B145" s="18"/>
    </row>
    <row r="146" customFormat="false" ht="15" hidden="false" customHeight="false" outlineLevel="0" collapsed="false">
      <c r="B146" s="18"/>
    </row>
    <row r="147" customFormat="false" ht="15" hidden="false" customHeight="false" outlineLevel="0" collapsed="false">
      <c r="B147" s="18"/>
    </row>
    <row r="148" customFormat="false" ht="15" hidden="false" customHeight="false" outlineLevel="0" collapsed="false">
      <c r="B148" s="18"/>
    </row>
    <row r="149" customFormat="false" ht="15" hidden="false" customHeight="false" outlineLevel="0" collapsed="false">
      <c r="B149" s="18"/>
    </row>
    <row r="150" customFormat="false" ht="15" hidden="false" customHeight="false" outlineLevel="0" collapsed="false">
      <c r="B150" s="18"/>
    </row>
    <row r="151" customFormat="false" ht="15" hidden="false" customHeight="false" outlineLevel="0" collapsed="false">
      <c r="B151" s="18"/>
    </row>
    <row r="152" customFormat="false" ht="15" hidden="false" customHeight="false" outlineLevel="0" collapsed="false">
      <c r="B152" s="18"/>
    </row>
    <row r="153" customFormat="false" ht="15" hidden="false" customHeight="false" outlineLevel="0" collapsed="false">
      <c r="B153" s="18"/>
    </row>
    <row r="154" customFormat="false" ht="15" hidden="false" customHeight="false" outlineLevel="0" collapsed="false">
      <c r="B154" s="18"/>
    </row>
    <row r="155" customFormat="false" ht="15" hidden="false" customHeight="false" outlineLevel="0" collapsed="false">
      <c r="B155" s="18"/>
    </row>
    <row r="156" customFormat="false" ht="15" hidden="false" customHeight="false" outlineLevel="0" collapsed="false">
      <c r="B156" s="18"/>
    </row>
    <row r="157" customFormat="false" ht="15" hidden="false" customHeight="false" outlineLevel="0" collapsed="false">
      <c r="B157" s="18"/>
    </row>
    <row r="158" customFormat="false" ht="15" hidden="false" customHeight="false" outlineLevel="0" collapsed="false">
      <c r="B158" s="18"/>
    </row>
    <row r="159" customFormat="false" ht="15" hidden="false" customHeight="false" outlineLevel="0" collapsed="false">
      <c r="B159" s="18"/>
    </row>
    <row r="160" customFormat="false" ht="15" hidden="false" customHeight="false" outlineLevel="0" collapsed="false">
      <c r="B160" s="18"/>
    </row>
    <row r="161" customFormat="false" ht="15" hidden="false" customHeight="false" outlineLevel="0" collapsed="false">
      <c r="B161" s="18"/>
    </row>
    <row r="162" customFormat="false" ht="15" hidden="false" customHeight="false" outlineLevel="0" collapsed="false">
      <c r="B162" s="18"/>
    </row>
    <row r="163" customFormat="false" ht="15" hidden="false" customHeight="false" outlineLevel="0" collapsed="false">
      <c r="B163" s="18"/>
    </row>
    <row r="164" customFormat="false" ht="15" hidden="false" customHeight="false" outlineLevel="0" collapsed="false">
      <c r="B164" s="18"/>
    </row>
    <row r="165" customFormat="false" ht="15" hidden="false" customHeight="false" outlineLevel="0" collapsed="false">
      <c r="B165" s="18"/>
    </row>
    <row r="166" customFormat="false" ht="15" hidden="false" customHeight="false" outlineLevel="0" collapsed="false">
      <c r="B166" s="18"/>
    </row>
    <row r="167" customFormat="false" ht="15" hidden="false" customHeight="false" outlineLevel="0" collapsed="false">
      <c r="B167" s="18"/>
    </row>
    <row r="168" customFormat="false" ht="15" hidden="false" customHeight="false" outlineLevel="0" collapsed="false">
      <c r="B168" s="18"/>
    </row>
    <row r="169" customFormat="false" ht="15" hidden="false" customHeight="false" outlineLevel="0" collapsed="false">
      <c r="B169" s="18"/>
    </row>
    <row r="170" customFormat="false" ht="15" hidden="false" customHeight="false" outlineLevel="0" collapsed="false">
      <c r="B170" s="18"/>
    </row>
    <row r="171" customFormat="false" ht="15" hidden="false" customHeight="false" outlineLevel="0" collapsed="false">
      <c r="B171" s="18"/>
    </row>
    <row r="172" customFormat="false" ht="15" hidden="false" customHeight="false" outlineLevel="0" collapsed="false">
      <c r="B172" s="18"/>
    </row>
    <row r="173" customFormat="false" ht="15" hidden="false" customHeight="false" outlineLevel="0" collapsed="false">
      <c r="B173" s="18"/>
    </row>
    <row r="174" customFormat="false" ht="15" hidden="false" customHeight="false" outlineLevel="0" collapsed="false">
      <c r="B174" s="18"/>
    </row>
    <row r="175" customFormat="false" ht="15" hidden="false" customHeight="false" outlineLevel="0" collapsed="false">
      <c r="B175" s="18"/>
    </row>
    <row r="176" customFormat="false" ht="15" hidden="false" customHeight="false" outlineLevel="0" collapsed="false">
      <c r="B176" s="18"/>
    </row>
    <row r="177" customFormat="false" ht="15" hidden="false" customHeight="false" outlineLevel="0" collapsed="false">
      <c r="B177" s="18"/>
    </row>
    <row r="178" customFormat="false" ht="15" hidden="false" customHeight="false" outlineLevel="0" collapsed="false">
      <c r="B178" s="18"/>
    </row>
    <row r="179" customFormat="false" ht="15" hidden="false" customHeight="false" outlineLevel="0" collapsed="false">
      <c r="B179" s="18"/>
    </row>
    <row r="180" customFormat="false" ht="15" hidden="false" customHeight="false" outlineLevel="0" collapsed="false">
      <c r="B180" s="18"/>
    </row>
    <row r="181" customFormat="false" ht="15" hidden="false" customHeight="false" outlineLevel="0" collapsed="false">
      <c r="B181" s="18"/>
    </row>
    <row r="182" customFormat="false" ht="15" hidden="false" customHeight="false" outlineLevel="0" collapsed="false">
      <c r="B182" s="18"/>
    </row>
    <row r="183" customFormat="false" ht="15" hidden="false" customHeight="false" outlineLevel="0" collapsed="false">
      <c r="B183" s="18"/>
    </row>
    <row r="184" customFormat="false" ht="15" hidden="false" customHeight="false" outlineLevel="0" collapsed="false">
      <c r="B184" s="18"/>
    </row>
    <row r="185" customFormat="false" ht="15" hidden="false" customHeight="false" outlineLevel="0" collapsed="false">
      <c r="B185" s="18"/>
    </row>
    <row r="186" customFormat="false" ht="15" hidden="false" customHeight="false" outlineLevel="0" collapsed="false">
      <c r="B186" s="18"/>
    </row>
    <row r="187" customFormat="false" ht="15" hidden="false" customHeight="false" outlineLevel="0" collapsed="false">
      <c r="B187" s="18"/>
    </row>
    <row r="188" customFormat="false" ht="15" hidden="false" customHeight="false" outlineLevel="0" collapsed="false">
      <c r="B188" s="18"/>
    </row>
    <row r="189" customFormat="false" ht="15" hidden="false" customHeight="false" outlineLevel="0" collapsed="false">
      <c r="B189" s="18"/>
    </row>
    <row r="190" customFormat="false" ht="15" hidden="false" customHeight="false" outlineLevel="0" collapsed="false">
      <c r="B190" s="18"/>
    </row>
    <row r="191" customFormat="false" ht="15" hidden="false" customHeight="false" outlineLevel="0" collapsed="false">
      <c r="B191" s="18"/>
    </row>
    <row r="192" customFormat="false" ht="15" hidden="false" customHeight="false" outlineLevel="0" collapsed="false">
      <c r="B192" s="18"/>
    </row>
    <row r="193" customFormat="false" ht="15" hidden="false" customHeight="false" outlineLevel="0" collapsed="false">
      <c r="B193" s="18"/>
    </row>
    <row r="194" customFormat="false" ht="15" hidden="false" customHeight="false" outlineLevel="0" collapsed="false">
      <c r="B194" s="18"/>
    </row>
    <row r="195" customFormat="false" ht="15" hidden="false" customHeight="false" outlineLevel="0" collapsed="false">
      <c r="B195" s="18"/>
    </row>
    <row r="196" customFormat="false" ht="15" hidden="false" customHeight="false" outlineLevel="0" collapsed="false">
      <c r="B196" s="18"/>
    </row>
    <row r="197" customFormat="false" ht="15" hidden="false" customHeight="false" outlineLevel="0" collapsed="false">
      <c r="B197" s="18"/>
    </row>
    <row r="198" customFormat="false" ht="15" hidden="false" customHeight="false" outlineLevel="0" collapsed="false">
      <c r="B198" s="18"/>
    </row>
    <row r="199" customFormat="false" ht="15" hidden="false" customHeight="false" outlineLevel="0" collapsed="false">
      <c r="B199" s="18"/>
    </row>
    <row r="200" customFormat="false" ht="15" hidden="false" customHeight="false" outlineLevel="0" collapsed="false">
      <c r="B200" s="18"/>
    </row>
    <row r="201" customFormat="false" ht="15" hidden="false" customHeight="false" outlineLevel="0" collapsed="false">
      <c r="B201" s="18"/>
    </row>
    <row r="202" customFormat="false" ht="15" hidden="false" customHeight="false" outlineLevel="0" collapsed="false">
      <c r="B202" s="18"/>
    </row>
    <row r="203" customFormat="false" ht="15" hidden="false" customHeight="false" outlineLevel="0" collapsed="false">
      <c r="B203" s="18"/>
    </row>
    <row r="204" customFormat="false" ht="15" hidden="false" customHeight="false" outlineLevel="0" collapsed="false">
      <c r="B204" s="18"/>
    </row>
    <row r="205" customFormat="false" ht="15" hidden="false" customHeight="false" outlineLevel="0" collapsed="false">
      <c r="B205" s="18"/>
    </row>
    <row r="206" customFormat="false" ht="15" hidden="false" customHeight="false" outlineLevel="0" collapsed="false">
      <c r="B206" s="18"/>
    </row>
    <row r="207" customFormat="false" ht="15" hidden="false" customHeight="false" outlineLevel="0" collapsed="false">
      <c r="B207" s="18"/>
    </row>
    <row r="208" customFormat="false" ht="15" hidden="false" customHeight="false" outlineLevel="0" collapsed="false">
      <c r="B208" s="18"/>
    </row>
    <row r="209" customFormat="false" ht="15" hidden="false" customHeight="false" outlineLevel="0" collapsed="false">
      <c r="B209" s="18"/>
    </row>
    <row r="210" customFormat="false" ht="15" hidden="false" customHeight="false" outlineLevel="0" collapsed="false">
      <c r="B210" s="18"/>
    </row>
    <row r="211" customFormat="false" ht="15" hidden="false" customHeight="false" outlineLevel="0" collapsed="false">
      <c r="B211" s="18"/>
    </row>
    <row r="212" customFormat="false" ht="15" hidden="false" customHeight="false" outlineLevel="0" collapsed="false">
      <c r="B212" s="18"/>
    </row>
    <row r="213" customFormat="false" ht="15" hidden="false" customHeight="false" outlineLevel="0" collapsed="false">
      <c r="B213" s="18"/>
    </row>
    <row r="214" customFormat="false" ht="15" hidden="false" customHeight="false" outlineLevel="0" collapsed="false">
      <c r="B214" s="18"/>
    </row>
    <row r="215" customFormat="false" ht="15" hidden="false" customHeight="false" outlineLevel="0" collapsed="false">
      <c r="B215" s="18"/>
    </row>
    <row r="216" customFormat="false" ht="15" hidden="false" customHeight="false" outlineLevel="0" collapsed="false">
      <c r="B216" s="18"/>
    </row>
    <row r="217" customFormat="false" ht="15" hidden="false" customHeight="false" outlineLevel="0" collapsed="false">
      <c r="B217" s="18"/>
    </row>
    <row r="218" customFormat="false" ht="15" hidden="false" customHeight="false" outlineLevel="0" collapsed="false">
      <c r="B218" s="18"/>
    </row>
    <row r="219" customFormat="false" ht="15" hidden="false" customHeight="false" outlineLevel="0" collapsed="false">
      <c r="B219" s="18"/>
    </row>
    <row r="220" customFormat="false" ht="15" hidden="false" customHeight="false" outlineLevel="0" collapsed="false">
      <c r="B220" s="18"/>
    </row>
    <row r="221" customFormat="false" ht="15" hidden="false" customHeight="false" outlineLevel="0" collapsed="false">
      <c r="B221" s="18"/>
    </row>
    <row r="222" customFormat="false" ht="15" hidden="false" customHeight="false" outlineLevel="0" collapsed="false">
      <c r="B222" s="18"/>
    </row>
    <row r="223" customFormat="false" ht="15" hidden="false" customHeight="false" outlineLevel="0" collapsed="false">
      <c r="B223" s="18"/>
    </row>
    <row r="224" customFormat="false" ht="15" hidden="false" customHeight="false" outlineLevel="0" collapsed="false">
      <c r="B224" s="18"/>
    </row>
    <row r="225" customFormat="false" ht="15" hidden="false" customHeight="false" outlineLevel="0" collapsed="false">
      <c r="B225" s="18"/>
    </row>
    <row r="226" customFormat="false" ht="15" hidden="false" customHeight="false" outlineLevel="0" collapsed="false">
      <c r="B226" s="18"/>
    </row>
    <row r="227" customFormat="false" ht="15" hidden="false" customHeight="false" outlineLevel="0" collapsed="false">
      <c r="B227" s="18"/>
    </row>
    <row r="228" customFormat="false" ht="15" hidden="false" customHeight="false" outlineLevel="0" collapsed="false">
      <c r="B228" s="18"/>
    </row>
    <row r="229" customFormat="false" ht="15" hidden="false" customHeight="false" outlineLevel="0" collapsed="false">
      <c r="B229" s="18"/>
    </row>
    <row r="230" customFormat="false" ht="15" hidden="false" customHeight="false" outlineLevel="0" collapsed="false">
      <c r="B230" s="18"/>
    </row>
    <row r="231" customFormat="false" ht="15" hidden="false" customHeight="false" outlineLevel="0" collapsed="false">
      <c r="B231" s="18"/>
    </row>
    <row r="232" customFormat="false" ht="15" hidden="false" customHeight="false" outlineLevel="0" collapsed="false">
      <c r="B232" s="18"/>
    </row>
    <row r="233" customFormat="false" ht="15" hidden="false" customHeight="false" outlineLevel="0" collapsed="false">
      <c r="B233" s="18"/>
    </row>
    <row r="234" customFormat="false" ht="15" hidden="false" customHeight="false" outlineLevel="0" collapsed="false">
      <c r="B234" s="18"/>
    </row>
    <row r="235" customFormat="false" ht="15" hidden="false" customHeight="false" outlineLevel="0" collapsed="false">
      <c r="B235" s="18"/>
    </row>
    <row r="236" customFormat="false" ht="15" hidden="false" customHeight="false" outlineLevel="0" collapsed="false">
      <c r="B236" s="18"/>
    </row>
    <row r="237" customFormat="false" ht="15" hidden="false" customHeight="false" outlineLevel="0" collapsed="false">
      <c r="B237" s="18"/>
    </row>
    <row r="238" customFormat="false" ht="15" hidden="false" customHeight="false" outlineLevel="0" collapsed="false">
      <c r="B238" s="18"/>
    </row>
    <row r="239" customFormat="false" ht="15" hidden="false" customHeight="false" outlineLevel="0" collapsed="false">
      <c r="B239" s="18"/>
    </row>
    <row r="240" customFormat="false" ht="15" hidden="false" customHeight="false" outlineLevel="0" collapsed="false">
      <c r="B240" s="18"/>
    </row>
    <row r="241" customFormat="false" ht="15" hidden="false" customHeight="false" outlineLevel="0" collapsed="false">
      <c r="B241" s="18"/>
    </row>
    <row r="242" customFormat="false" ht="15" hidden="false" customHeight="false" outlineLevel="0" collapsed="false">
      <c r="B242" s="18"/>
    </row>
    <row r="243" customFormat="false" ht="15" hidden="false" customHeight="false" outlineLevel="0" collapsed="false">
      <c r="B243" s="18"/>
    </row>
    <row r="244" customFormat="false" ht="15" hidden="false" customHeight="false" outlineLevel="0" collapsed="false">
      <c r="B244" s="18"/>
    </row>
    <row r="245" customFormat="false" ht="15" hidden="false" customHeight="false" outlineLevel="0" collapsed="false">
      <c r="B245" s="18"/>
    </row>
    <row r="246" customFormat="false" ht="15" hidden="false" customHeight="false" outlineLevel="0" collapsed="false">
      <c r="B246" s="18"/>
    </row>
    <row r="247" customFormat="false" ht="15" hidden="false" customHeight="false" outlineLevel="0" collapsed="false">
      <c r="B247" s="18"/>
    </row>
    <row r="248" customFormat="false" ht="15" hidden="false" customHeight="false" outlineLevel="0" collapsed="false">
      <c r="B248" s="18"/>
    </row>
    <row r="249" customFormat="false" ht="15" hidden="false" customHeight="false" outlineLevel="0" collapsed="false">
      <c r="B249" s="18"/>
    </row>
    <row r="250" customFormat="false" ht="15" hidden="false" customHeight="false" outlineLevel="0" collapsed="false">
      <c r="B250" s="18"/>
    </row>
    <row r="251" customFormat="false" ht="15" hidden="false" customHeight="false" outlineLevel="0" collapsed="false">
      <c r="B251" s="18"/>
    </row>
    <row r="252" customFormat="false" ht="15" hidden="false" customHeight="false" outlineLevel="0" collapsed="false">
      <c r="B252" s="18"/>
    </row>
    <row r="253" customFormat="false" ht="15" hidden="false" customHeight="false" outlineLevel="0" collapsed="false">
      <c r="B253" s="18"/>
    </row>
    <row r="254" customFormat="false" ht="15" hidden="false" customHeight="false" outlineLevel="0" collapsed="false">
      <c r="B254" s="18"/>
    </row>
    <row r="255" customFormat="false" ht="15" hidden="false" customHeight="false" outlineLevel="0" collapsed="false">
      <c r="B255" s="18"/>
    </row>
    <row r="256" customFormat="false" ht="15" hidden="false" customHeight="false" outlineLevel="0" collapsed="false">
      <c r="B256" s="18"/>
    </row>
    <row r="257" customFormat="false" ht="15" hidden="false" customHeight="false" outlineLevel="0" collapsed="false">
      <c r="B257" s="18"/>
    </row>
    <row r="258" customFormat="false" ht="15" hidden="false" customHeight="false" outlineLevel="0" collapsed="false">
      <c r="B258" s="18"/>
    </row>
    <row r="259" customFormat="false" ht="15" hidden="false" customHeight="false" outlineLevel="0" collapsed="false">
      <c r="B259" s="18"/>
    </row>
    <row r="260" customFormat="false" ht="15" hidden="false" customHeight="false" outlineLevel="0" collapsed="false">
      <c r="B260" s="18"/>
    </row>
    <row r="261" customFormat="false" ht="15" hidden="false" customHeight="false" outlineLevel="0" collapsed="false">
      <c r="B261" s="18"/>
    </row>
    <row r="262" customFormat="false" ht="15" hidden="false" customHeight="false" outlineLevel="0" collapsed="false">
      <c r="B262" s="18"/>
    </row>
    <row r="263" customFormat="false" ht="15" hidden="false" customHeight="false" outlineLevel="0" collapsed="false">
      <c r="B263" s="18"/>
    </row>
    <row r="264" customFormat="false" ht="15" hidden="false" customHeight="false" outlineLevel="0" collapsed="false">
      <c r="B264" s="18"/>
    </row>
    <row r="265" customFormat="false" ht="15" hidden="false" customHeight="false" outlineLevel="0" collapsed="false">
      <c r="B265" s="18"/>
    </row>
    <row r="266" customFormat="false" ht="15" hidden="false" customHeight="false" outlineLevel="0" collapsed="false">
      <c r="B266" s="18"/>
    </row>
    <row r="267" customFormat="false" ht="15" hidden="false" customHeight="false" outlineLevel="0" collapsed="false">
      <c r="B267" s="18"/>
    </row>
    <row r="268" customFormat="false" ht="15" hidden="false" customHeight="false" outlineLevel="0" collapsed="false">
      <c r="B268" s="18"/>
    </row>
    <row r="269" customFormat="false" ht="15" hidden="false" customHeight="false" outlineLevel="0" collapsed="false">
      <c r="B269" s="18"/>
    </row>
    <row r="270" customFormat="false" ht="15" hidden="false" customHeight="false" outlineLevel="0" collapsed="false">
      <c r="B270" s="18"/>
    </row>
    <row r="271" customFormat="false" ht="15" hidden="false" customHeight="false" outlineLevel="0" collapsed="false">
      <c r="B271" s="18"/>
    </row>
    <row r="272" customFormat="false" ht="15" hidden="false" customHeight="false" outlineLevel="0" collapsed="false">
      <c r="B272" s="18"/>
    </row>
    <row r="273" customFormat="false" ht="15" hidden="false" customHeight="false" outlineLevel="0" collapsed="false">
      <c r="B273" s="18"/>
    </row>
    <row r="274" customFormat="false" ht="15" hidden="false" customHeight="false" outlineLevel="0" collapsed="false">
      <c r="B274" s="18"/>
    </row>
    <row r="275" customFormat="false" ht="15" hidden="false" customHeight="false" outlineLevel="0" collapsed="false">
      <c r="B275" s="18"/>
    </row>
    <row r="276" customFormat="false" ht="15" hidden="false" customHeight="false" outlineLevel="0" collapsed="false">
      <c r="B276" s="18"/>
    </row>
    <row r="277" customFormat="false" ht="15" hidden="false" customHeight="false" outlineLevel="0" collapsed="false">
      <c r="B277" s="18"/>
    </row>
    <row r="278" customFormat="false" ht="15" hidden="false" customHeight="false" outlineLevel="0" collapsed="false">
      <c r="B278" s="18"/>
    </row>
    <row r="279" customFormat="false" ht="15" hidden="false" customHeight="false" outlineLevel="0" collapsed="false">
      <c r="B279" s="18"/>
    </row>
    <row r="280" customFormat="false" ht="15" hidden="false" customHeight="false" outlineLevel="0" collapsed="false">
      <c r="B280" s="18"/>
    </row>
    <row r="281" customFormat="false" ht="15" hidden="false" customHeight="false" outlineLevel="0" collapsed="false">
      <c r="B281" s="18"/>
    </row>
    <row r="282" customFormat="false" ht="15" hidden="false" customHeight="false" outlineLevel="0" collapsed="false">
      <c r="B282" s="18"/>
    </row>
    <row r="283" customFormat="false" ht="15" hidden="false" customHeight="false" outlineLevel="0" collapsed="false">
      <c r="B283" s="18"/>
    </row>
    <row r="284" customFormat="false" ht="15" hidden="false" customHeight="false" outlineLevel="0" collapsed="false">
      <c r="B284" s="18"/>
    </row>
    <row r="285" customFormat="false" ht="15" hidden="false" customHeight="false" outlineLevel="0" collapsed="false">
      <c r="B285" s="18"/>
    </row>
    <row r="286" customFormat="false" ht="15" hidden="false" customHeight="false" outlineLevel="0" collapsed="false">
      <c r="B286" s="18"/>
    </row>
    <row r="287" customFormat="false" ht="15" hidden="false" customHeight="false" outlineLevel="0" collapsed="false">
      <c r="B287" s="18"/>
    </row>
    <row r="288" customFormat="false" ht="15" hidden="false" customHeight="false" outlineLevel="0" collapsed="false">
      <c r="B288" s="18"/>
    </row>
    <row r="289" customFormat="false" ht="15" hidden="false" customHeight="false" outlineLevel="0" collapsed="false">
      <c r="B289" s="18"/>
    </row>
    <row r="290" customFormat="false" ht="15" hidden="false" customHeight="false" outlineLevel="0" collapsed="false">
      <c r="B290" s="18"/>
    </row>
    <row r="291" customFormat="false" ht="15" hidden="false" customHeight="false" outlineLevel="0" collapsed="false">
      <c r="B291" s="18"/>
    </row>
    <row r="292" customFormat="false" ht="15" hidden="false" customHeight="false" outlineLevel="0" collapsed="false">
      <c r="B292" s="18"/>
    </row>
    <row r="293" customFormat="false" ht="15" hidden="false" customHeight="false" outlineLevel="0" collapsed="false">
      <c r="B293" s="18"/>
    </row>
    <row r="294" customFormat="false" ht="15" hidden="false" customHeight="false" outlineLevel="0" collapsed="false">
      <c r="B294" s="18"/>
    </row>
    <row r="295" customFormat="false" ht="15" hidden="false" customHeight="false" outlineLevel="0" collapsed="false">
      <c r="B295" s="18"/>
    </row>
    <row r="296" customFormat="false" ht="15" hidden="false" customHeight="false" outlineLevel="0" collapsed="false">
      <c r="B296" s="18"/>
    </row>
    <row r="297" customFormat="false" ht="15" hidden="false" customHeight="false" outlineLevel="0" collapsed="false">
      <c r="B297" s="18"/>
    </row>
    <row r="298" customFormat="false" ht="15" hidden="false" customHeight="false" outlineLevel="0" collapsed="false">
      <c r="B298" s="18"/>
    </row>
    <row r="299" customFormat="false" ht="15" hidden="false" customHeight="false" outlineLevel="0" collapsed="false">
      <c r="B299" s="18"/>
    </row>
    <row r="300" customFormat="false" ht="15" hidden="false" customHeight="false" outlineLevel="0" collapsed="false">
      <c r="B300" s="18"/>
    </row>
    <row r="301" customFormat="false" ht="15" hidden="false" customHeight="false" outlineLevel="0" collapsed="false">
      <c r="B301" s="18"/>
    </row>
    <row r="302" customFormat="false" ht="15" hidden="false" customHeight="false" outlineLevel="0" collapsed="false">
      <c r="B302" s="18"/>
    </row>
    <row r="303" customFormat="false" ht="15" hidden="false" customHeight="false" outlineLevel="0" collapsed="false">
      <c r="B303" s="18"/>
    </row>
    <row r="304" customFormat="false" ht="15" hidden="false" customHeight="false" outlineLevel="0" collapsed="false">
      <c r="B304" s="18"/>
    </row>
    <row r="305" customFormat="false" ht="15" hidden="false" customHeight="false" outlineLevel="0" collapsed="false">
      <c r="B305" s="18"/>
    </row>
    <row r="306" customFormat="false" ht="15" hidden="false" customHeight="false" outlineLevel="0" collapsed="false">
      <c r="B306" s="18"/>
    </row>
    <row r="307" customFormat="false" ht="15" hidden="false" customHeight="false" outlineLevel="0" collapsed="false">
      <c r="B307" s="18"/>
    </row>
    <row r="308" customFormat="false" ht="15" hidden="false" customHeight="false" outlineLevel="0" collapsed="false">
      <c r="B308" s="18"/>
    </row>
    <row r="309" customFormat="false" ht="15" hidden="false" customHeight="false" outlineLevel="0" collapsed="false">
      <c r="B309" s="18"/>
    </row>
    <row r="310" customFormat="false" ht="15" hidden="false" customHeight="false" outlineLevel="0" collapsed="false">
      <c r="B310" s="18"/>
    </row>
    <row r="311" customFormat="false" ht="15" hidden="false" customHeight="false" outlineLevel="0" collapsed="false">
      <c r="B311" s="18"/>
    </row>
    <row r="312" customFormat="false" ht="15" hidden="false" customHeight="false" outlineLevel="0" collapsed="false">
      <c r="B312" s="18"/>
    </row>
    <row r="313" customFormat="false" ht="15" hidden="false" customHeight="false" outlineLevel="0" collapsed="false">
      <c r="B313" s="18"/>
    </row>
    <row r="314" customFormat="false" ht="15" hidden="false" customHeight="false" outlineLevel="0" collapsed="false">
      <c r="B314" s="18"/>
    </row>
    <row r="315" customFormat="false" ht="15" hidden="false" customHeight="false" outlineLevel="0" collapsed="false">
      <c r="B315" s="18"/>
    </row>
    <row r="316" customFormat="false" ht="15" hidden="false" customHeight="false" outlineLevel="0" collapsed="false">
      <c r="B316" s="18"/>
    </row>
    <row r="317" customFormat="false" ht="15" hidden="false" customHeight="false" outlineLevel="0" collapsed="false">
      <c r="B317" s="18"/>
    </row>
    <row r="318" customFormat="false" ht="15" hidden="false" customHeight="false" outlineLevel="0" collapsed="false">
      <c r="B318" s="18"/>
    </row>
    <row r="319" customFormat="false" ht="15" hidden="false" customHeight="false" outlineLevel="0" collapsed="false">
      <c r="B319" s="18"/>
    </row>
    <row r="320" customFormat="false" ht="15" hidden="false" customHeight="false" outlineLevel="0" collapsed="false">
      <c r="B320" s="18"/>
    </row>
    <row r="321" customFormat="false" ht="15" hidden="false" customHeight="false" outlineLevel="0" collapsed="false">
      <c r="B321" s="18"/>
    </row>
    <row r="322" customFormat="false" ht="15" hidden="false" customHeight="false" outlineLevel="0" collapsed="false">
      <c r="B322" s="18"/>
    </row>
    <row r="323" customFormat="false" ht="15" hidden="false" customHeight="false" outlineLevel="0" collapsed="false">
      <c r="B323" s="18"/>
    </row>
    <row r="324" customFormat="false" ht="15" hidden="false" customHeight="false" outlineLevel="0" collapsed="false">
      <c r="B324" s="18"/>
    </row>
    <row r="325" customFormat="false" ht="15" hidden="false" customHeight="false" outlineLevel="0" collapsed="false">
      <c r="B325" s="18"/>
    </row>
    <row r="326" customFormat="false" ht="15" hidden="false" customHeight="false" outlineLevel="0" collapsed="false">
      <c r="B326" s="18"/>
    </row>
    <row r="327" customFormat="false" ht="15" hidden="false" customHeight="false" outlineLevel="0" collapsed="false">
      <c r="B327" s="18"/>
    </row>
    <row r="328" customFormat="false" ht="15" hidden="false" customHeight="false" outlineLevel="0" collapsed="false">
      <c r="B328" s="18"/>
    </row>
    <row r="329" customFormat="false" ht="15" hidden="false" customHeight="false" outlineLevel="0" collapsed="false">
      <c r="B329" s="18"/>
    </row>
    <row r="330" customFormat="false" ht="15" hidden="false" customHeight="false" outlineLevel="0" collapsed="false">
      <c r="B330" s="18"/>
    </row>
    <row r="331" customFormat="false" ht="15" hidden="false" customHeight="false" outlineLevel="0" collapsed="false">
      <c r="B331" s="18"/>
    </row>
    <row r="332" customFormat="false" ht="15" hidden="false" customHeight="false" outlineLevel="0" collapsed="false">
      <c r="B332" s="18"/>
    </row>
    <row r="333" customFormat="false" ht="15" hidden="false" customHeight="false" outlineLevel="0" collapsed="false">
      <c r="B333" s="18"/>
    </row>
    <row r="334" customFormat="false" ht="15" hidden="false" customHeight="false" outlineLevel="0" collapsed="false">
      <c r="B334" s="18"/>
    </row>
    <row r="335" customFormat="false" ht="15" hidden="false" customHeight="false" outlineLevel="0" collapsed="false">
      <c r="B335" s="18"/>
    </row>
    <row r="336" customFormat="false" ht="15" hidden="false" customHeight="false" outlineLevel="0" collapsed="false">
      <c r="B336" s="18"/>
    </row>
    <row r="337" customFormat="false" ht="15" hidden="false" customHeight="false" outlineLevel="0" collapsed="false">
      <c r="B337" s="18"/>
    </row>
    <row r="338" customFormat="false" ht="15" hidden="false" customHeight="false" outlineLevel="0" collapsed="false">
      <c r="B338" s="18"/>
    </row>
    <row r="339" customFormat="false" ht="15" hidden="false" customHeight="false" outlineLevel="0" collapsed="false">
      <c r="B339" s="18"/>
    </row>
    <row r="340" customFormat="false" ht="15" hidden="false" customHeight="false" outlineLevel="0" collapsed="false">
      <c r="B340" s="18"/>
    </row>
    <row r="341" customFormat="false" ht="15" hidden="false" customHeight="false" outlineLevel="0" collapsed="false">
      <c r="B341" s="18"/>
    </row>
    <row r="342" customFormat="false" ht="15" hidden="false" customHeight="false" outlineLevel="0" collapsed="false">
      <c r="B342" s="18"/>
    </row>
    <row r="343" customFormat="false" ht="15" hidden="false" customHeight="false" outlineLevel="0" collapsed="false">
      <c r="B343" s="18"/>
    </row>
    <row r="344" customFormat="false" ht="15" hidden="false" customHeight="false" outlineLevel="0" collapsed="false">
      <c r="B344" s="18"/>
    </row>
    <row r="345" customFormat="false" ht="15" hidden="false" customHeight="false" outlineLevel="0" collapsed="false">
      <c r="B345" s="18"/>
    </row>
    <row r="346" customFormat="false" ht="15" hidden="false" customHeight="false" outlineLevel="0" collapsed="false">
      <c r="B346" s="18"/>
    </row>
    <row r="347" customFormat="false" ht="15" hidden="false" customHeight="false" outlineLevel="0" collapsed="false">
      <c r="B347" s="18"/>
    </row>
    <row r="348" customFormat="false" ht="15" hidden="false" customHeight="false" outlineLevel="0" collapsed="false">
      <c r="B348" s="18"/>
    </row>
    <row r="349" customFormat="false" ht="15" hidden="false" customHeight="false" outlineLevel="0" collapsed="false">
      <c r="B349" s="18"/>
    </row>
    <row r="350" customFormat="false" ht="15" hidden="false" customHeight="false" outlineLevel="0" collapsed="false">
      <c r="B350" s="18"/>
    </row>
    <row r="351" customFormat="false" ht="15" hidden="false" customHeight="false" outlineLevel="0" collapsed="false">
      <c r="B351" s="18"/>
    </row>
    <row r="352" customFormat="false" ht="15" hidden="false" customHeight="false" outlineLevel="0" collapsed="false">
      <c r="B352" s="18"/>
    </row>
    <row r="353" customFormat="false" ht="15" hidden="false" customHeight="false" outlineLevel="0" collapsed="false">
      <c r="B353" s="18"/>
    </row>
    <row r="354" customFormat="false" ht="15" hidden="false" customHeight="false" outlineLevel="0" collapsed="false">
      <c r="B354" s="18"/>
    </row>
    <row r="355" customFormat="false" ht="15" hidden="false" customHeight="false" outlineLevel="0" collapsed="false">
      <c r="B355" s="18"/>
    </row>
    <row r="356" customFormat="false" ht="15" hidden="false" customHeight="false" outlineLevel="0" collapsed="false">
      <c r="B356" s="18"/>
    </row>
    <row r="357" customFormat="false" ht="15" hidden="false" customHeight="false" outlineLevel="0" collapsed="false">
      <c r="B357" s="18"/>
    </row>
    <row r="358" customFormat="false" ht="15" hidden="false" customHeight="false" outlineLevel="0" collapsed="false">
      <c r="B358" s="18"/>
    </row>
    <row r="359" customFormat="false" ht="15" hidden="false" customHeight="false" outlineLevel="0" collapsed="false">
      <c r="B359" s="18"/>
    </row>
    <row r="360" customFormat="false" ht="15" hidden="false" customHeight="false" outlineLevel="0" collapsed="false">
      <c r="B360" s="18"/>
    </row>
    <row r="361" customFormat="false" ht="15" hidden="false" customHeight="false" outlineLevel="0" collapsed="false">
      <c r="B361" s="18"/>
    </row>
    <row r="362" customFormat="false" ht="15" hidden="false" customHeight="false" outlineLevel="0" collapsed="false">
      <c r="B362" s="18"/>
    </row>
    <row r="363" customFormat="false" ht="15" hidden="false" customHeight="false" outlineLevel="0" collapsed="false">
      <c r="B363" s="18"/>
    </row>
    <row r="364" customFormat="false" ht="15" hidden="false" customHeight="false" outlineLevel="0" collapsed="false">
      <c r="B364" s="18"/>
    </row>
    <row r="365" customFormat="false" ht="15" hidden="false" customHeight="false" outlineLevel="0" collapsed="false">
      <c r="B365" s="18"/>
    </row>
    <row r="366" customFormat="false" ht="15" hidden="false" customHeight="false" outlineLevel="0" collapsed="false">
      <c r="B366" s="18"/>
    </row>
    <row r="367" customFormat="false" ht="15" hidden="false" customHeight="false" outlineLevel="0" collapsed="false">
      <c r="B367" s="18"/>
    </row>
    <row r="368" customFormat="false" ht="15" hidden="false" customHeight="false" outlineLevel="0" collapsed="false">
      <c r="B368" s="18"/>
    </row>
    <row r="369" customFormat="false" ht="15" hidden="false" customHeight="false" outlineLevel="0" collapsed="false">
      <c r="B369" s="18"/>
    </row>
    <row r="370" customFormat="false" ht="15" hidden="false" customHeight="false" outlineLevel="0" collapsed="false">
      <c r="B370" s="18"/>
    </row>
    <row r="371" customFormat="false" ht="15" hidden="false" customHeight="false" outlineLevel="0" collapsed="false">
      <c r="B371" s="18"/>
    </row>
    <row r="372" customFormat="false" ht="15" hidden="false" customHeight="false" outlineLevel="0" collapsed="false">
      <c r="B372" s="18"/>
    </row>
    <row r="373" customFormat="false" ht="15" hidden="false" customHeight="false" outlineLevel="0" collapsed="false">
      <c r="B373" s="18"/>
    </row>
    <row r="374" customFormat="false" ht="15" hidden="false" customHeight="false" outlineLevel="0" collapsed="false">
      <c r="B374" s="18"/>
    </row>
    <row r="375" customFormat="false" ht="15" hidden="false" customHeight="false" outlineLevel="0" collapsed="false">
      <c r="B375" s="18"/>
    </row>
    <row r="376" customFormat="false" ht="15" hidden="false" customHeight="false" outlineLevel="0" collapsed="false">
      <c r="B376" s="18"/>
    </row>
    <row r="377" customFormat="false" ht="15" hidden="false" customHeight="false" outlineLevel="0" collapsed="false">
      <c r="B377" s="18"/>
    </row>
    <row r="378" customFormat="false" ht="15" hidden="false" customHeight="false" outlineLevel="0" collapsed="false">
      <c r="B378" s="18"/>
    </row>
    <row r="379" customFormat="false" ht="15" hidden="false" customHeight="false" outlineLevel="0" collapsed="false">
      <c r="B379" s="18"/>
    </row>
    <row r="380" customFormat="false" ht="15" hidden="false" customHeight="false" outlineLevel="0" collapsed="false">
      <c r="B380" s="18"/>
    </row>
    <row r="381" customFormat="false" ht="15" hidden="false" customHeight="false" outlineLevel="0" collapsed="false">
      <c r="B381" s="18"/>
    </row>
    <row r="382" customFormat="false" ht="15" hidden="false" customHeight="false" outlineLevel="0" collapsed="false">
      <c r="B382" s="18"/>
    </row>
    <row r="383" customFormat="false" ht="15" hidden="false" customHeight="false" outlineLevel="0" collapsed="false">
      <c r="B383" s="18"/>
    </row>
    <row r="384" customFormat="false" ht="15" hidden="false" customHeight="false" outlineLevel="0" collapsed="false">
      <c r="B384" s="18"/>
    </row>
    <row r="385" customFormat="false" ht="15" hidden="false" customHeight="false" outlineLevel="0" collapsed="false">
      <c r="B385" s="18"/>
    </row>
    <row r="386" customFormat="false" ht="15" hidden="false" customHeight="false" outlineLevel="0" collapsed="false">
      <c r="B386" s="18"/>
    </row>
    <row r="387" customFormat="false" ht="15" hidden="false" customHeight="false" outlineLevel="0" collapsed="false">
      <c r="B387" s="18"/>
    </row>
    <row r="388" customFormat="false" ht="15" hidden="false" customHeight="false" outlineLevel="0" collapsed="false">
      <c r="B388" s="18"/>
    </row>
    <row r="389" customFormat="false" ht="15" hidden="false" customHeight="false" outlineLevel="0" collapsed="false">
      <c r="B389" s="18"/>
    </row>
    <row r="390" customFormat="false" ht="15" hidden="false" customHeight="false" outlineLevel="0" collapsed="false">
      <c r="B390" s="18"/>
    </row>
    <row r="391" customFormat="false" ht="15" hidden="false" customHeight="false" outlineLevel="0" collapsed="false">
      <c r="B391" s="18"/>
    </row>
    <row r="392" customFormat="false" ht="15" hidden="false" customHeight="false" outlineLevel="0" collapsed="false">
      <c r="B392" s="18"/>
    </row>
    <row r="393" customFormat="false" ht="15" hidden="false" customHeight="false" outlineLevel="0" collapsed="false">
      <c r="B393" s="18"/>
    </row>
    <row r="394" customFormat="false" ht="15" hidden="false" customHeight="false" outlineLevel="0" collapsed="false">
      <c r="B394" s="18"/>
    </row>
    <row r="395" customFormat="false" ht="15" hidden="false" customHeight="false" outlineLevel="0" collapsed="false">
      <c r="B395" s="18"/>
    </row>
    <row r="396" customFormat="false" ht="15" hidden="false" customHeight="false" outlineLevel="0" collapsed="false">
      <c r="B396" s="18"/>
    </row>
    <row r="397" customFormat="false" ht="15" hidden="false" customHeight="false" outlineLevel="0" collapsed="false">
      <c r="B397" s="18"/>
    </row>
    <row r="398" customFormat="false" ht="15" hidden="false" customHeight="false" outlineLevel="0" collapsed="false">
      <c r="B398" s="18"/>
    </row>
    <row r="399" customFormat="false" ht="15" hidden="false" customHeight="false" outlineLevel="0" collapsed="false">
      <c r="B399" s="18"/>
    </row>
    <row r="400" customFormat="false" ht="15" hidden="false" customHeight="false" outlineLevel="0" collapsed="false">
      <c r="B400" s="18"/>
    </row>
    <row r="401" customFormat="false" ht="15" hidden="false" customHeight="false" outlineLevel="0" collapsed="false">
      <c r="B401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2026-09-26T18:01:58Z</dcterms:created>
  <dc:creator>openpyxl</dc:creator>
  <dc:description/>
  <dc:language>en-US</dc:language>
  <cp:lastModifiedBy/>
  <dcterms:modified xsi:type="dcterms:W3CDTF">2026-09-26T13:02:00Z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